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alikasingh/Desktop/Manuscript/R data/Input/"/>
    </mc:Choice>
  </mc:AlternateContent>
  <xr:revisionPtr revIDLastSave="0" documentId="13_ncr:1_{0E3FB340-F0DA-5145-92AB-FD48E020A457}" xr6:coauthVersionLast="47" xr6:coauthVersionMax="47" xr10:uidLastSave="{00000000-0000-0000-0000-000000000000}"/>
  <bookViews>
    <workbookView xWindow="0" yWindow="740" windowWidth="29400" windowHeight="16400" activeTab="2" xr2:uid="{7ABC7EBA-5661-BE40-A7DA-505A7561A847}"/>
  </bookViews>
  <sheets>
    <sheet name="NC sorted all data" sheetId="3" r:id="rId1"/>
    <sheet name="GLM result " sheetId="4" r:id="rId2"/>
    <sheet name="R_dat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3" i="5" l="1"/>
  <c r="L263" i="5"/>
  <c r="K263" i="5"/>
  <c r="J263" i="5"/>
  <c r="P262" i="5"/>
  <c r="L262" i="5"/>
  <c r="K262" i="5"/>
  <c r="J262" i="5"/>
  <c r="P269" i="5"/>
  <c r="L269" i="5"/>
  <c r="K269" i="5"/>
  <c r="J269" i="5"/>
  <c r="P265" i="5"/>
  <c r="L265" i="5"/>
  <c r="K265" i="5"/>
  <c r="J265" i="5"/>
  <c r="P268" i="5"/>
  <c r="L268" i="5"/>
  <c r="K268" i="5"/>
  <c r="J268" i="5"/>
  <c r="P267" i="5"/>
  <c r="L267" i="5"/>
  <c r="K267" i="5"/>
  <c r="J267" i="5"/>
  <c r="P266" i="5"/>
  <c r="L266" i="5"/>
  <c r="K266" i="5"/>
  <c r="J266" i="5"/>
  <c r="P261" i="5"/>
  <c r="L261" i="5"/>
  <c r="K261" i="5"/>
  <c r="J261" i="5"/>
  <c r="P264" i="5"/>
  <c r="L264" i="5"/>
  <c r="K264" i="5"/>
  <c r="J264" i="5"/>
  <c r="P260" i="5"/>
  <c r="L260" i="5"/>
  <c r="K260" i="5"/>
  <c r="J260" i="5"/>
  <c r="M260" i="5" s="1"/>
  <c r="P259" i="5"/>
  <c r="L259" i="5"/>
  <c r="K259" i="5"/>
  <c r="J259" i="5"/>
  <c r="P257" i="5"/>
  <c r="L257" i="5"/>
  <c r="K257" i="5"/>
  <c r="J257" i="5"/>
  <c r="P256" i="5"/>
  <c r="L256" i="5"/>
  <c r="K256" i="5"/>
  <c r="J256" i="5"/>
  <c r="P253" i="5"/>
  <c r="L253" i="5"/>
  <c r="K253" i="5"/>
  <c r="J253" i="5"/>
  <c r="P255" i="5"/>
  <c r="L255" i="5"/>
  <c r="K255" i="5"/>
  <c r="J255" i="5"/>
  <c r="P252" i="5"/>
  <c r="L252" i="5"/>
  <c r="K252" i="5"/>
  <c r="J252" i="5"/>
  <c r="P251" i="5"/>
  <c r="L251" i="5"/>
  <c r="K251" i="5"/>
  <c r="J251" i="5"/>
  <c r="P258" i="5"/>
  <c r="L258" i="5"/>
  <c r="K258" i="5"/>
  <c r="J258" i="5"/>
  <c r="P250" i="5"/>
  <c r="L250" i="5"/>
  <c r="K250" i="5"/>
  <c r="J250" i="5"/>
  <c r="P254" i="5"/>
  <c r="L254" i="5"/>
  <c r="K254" i="5"/>
  <c r="J254" i="5"/>
  <c r="P245" i="5"/>
  <c r="L245" i="5"/>
  <c r="K245" i="5"/>
  <c r="J245" i="5"/>
  <c r="P241" i="5"/>
  <c r="L241" i="5"/>
  <c r="K241" i="5"/>
  <c r="J241" i="5"/>
  <c r="P240" i="5"/>
  <c r="L240" i="5"/>
  <c r="K240" i="5"/>
  <c r="J240" i="5"/>
  <c r="P239" i="5"/>
  <c r="L239" i="5"/>
  <c r="K239" i="5"/>
  <c r="J239" i="5"/>
  <c r="P244" i="5"/>
  <c r="L244" i="5"/>
  <c r="K244" i="5"/>
  <c r="J244" i="5"/>
  <c r="P249" i="5"/>
  <c r="L249" i="5"/>
  <c r="K249" i="5"/>
  <c r="J249" i="5"/>
  <c r="P243" i="5"/>
  <c r="L243" i="5"/>
  <c r="K243" i="5"/>
  <c r="J243" i="5"/>
  <c r="P248" i="5"/>
  <c r="L248" i="5"/>
  <c r="K248" i="5"/>
  <c r="J248" i="5"/>
  <c r="P242" i="5"/>
  <c r="L242" i="5"/>
  <c r="K242" i="5"/>
  <c r="J242" i="5"/>
  <c r="P247" i="5"/>
  <c r="L247" i="5"/>
  <c r="K247" i="5"/>
  <c r="J247" i="5"/>
  <c r="P238" i="5"/>
  <c r="L238" i="5"/>
  <c r="K238" i="5"/>
  <c r="J238" i="5"/>
  <c r="P246" i="5"/>
  <c r="L246" i="5"/>
  <c r="K246" i="5"/>
  <c r="J246" i="5"/>
  <c r="P233" i="5"/>
  <c r="L233" i="5"/>
  <c r="K233" i="5"/>
  <c r="J233" i="5"/>
  <c r="P229" i="5"/>
  <c r="L229" i="5"/>
  <c r="K229" i="5"/>
  <c r="J229" i="5"/>
  <c r="P232" i="5"/>
  <c r="L232" i="5"/>
  <c r="K232" i="5"/>
  <c r="J232" i="5"/>
  <c r="P237" i="5"/>
  <c r="L237" i="5"/>
  <c r="K237" i="5"/>
  <c r="J237" i="5"/>
  <c r="P236" i="5"/>
  <c r="L236" i="5"/>
  <c r="K236" i="5"/>
  <c r="J236" i="5"/>
  <c r="P231" i="5"/>
  <c r="L231" i="5"/>
  <c r="K231" i="5"/>
  <c r="J231" i="5"/>
  <c r="P228" i="5"/>
  <c r="L228" i="5"/>
  <c r="K228" i="5"/>
  <c r="J228" i="5"/>
  <c r="P230" i="5"/>
  <c r="L230" i="5"/>
  <c r="K230" i="5"/>
  <c r="J230" i="5"/>
  <c r="P235" i="5"/>
  <c r="L235" i="5"/>
  <c r="K235" i="5"/>
  <c r="J235" i="5"/>
  <c r="P227" i="5"/>
  <c r="L227" i="5"/>
  <c r="K227" i="5"/>
  <c r="J227" i="5"/>
  <c r="P234" i="5"/>
  <c r="L234" i="5"/>
  <c r="K234" i="5"/>
  <c r="J234" i="5"/>
  <c r="P226" i="5"/>
  <c r="L226" i="5"/>
  <c r="K226" i="5"/>
  <c r="J226" i="5"/>
  <c r="P217" i="5"/>
  <c r="L217" i="5"/>
  <c r="K217" i="5"/>
  <c r="J217" i="5"/>
  <c r="P216" i="5"/>
  <c r="L216" i="5"/>
  <c r="K216" i="5"/>
  <c r="J216" i="5"/>
  <c r="P225" i="5"/>
  <c r="L225" i="5"/>
  <c r="K225" i="5"/>
  <c r="J225" i="5"/>
  <c r="P221" i="5"/>
  <c r="L221" i="5"/>
  <c r="K221" i="5"/>
  <c r="J221" i="5"/>
  <c r="P224" i="5"/>
  <c r="L224" i="5"/>
  <c r="K224" i="5"/>
  <c r="J224" i="5"/>
  <c r="P220" i="5"/>
  <c r="L220" i="5"/>
  <c r="K220" i="5"/>
  <c r="J220" i="5"/>
  <c r="P223" i="5"/>
  <c r="L223" i="5"/>
  <c r="K223" i="5"/>
  <c r="J223" i="5"/>
  <c r="P219" i="5"/>
  <c r="L219" i="5"/>
  <c r="K219" i="5"/>
  <c r="J219" i="5"/>
  <c r="P222" i="5"/>
  <c r="L222" i="5"/>
  <c r="K222" i="5"/>
  <c r="J222" i="5"/>
  <c r="P215" i="5"/>
  <c r="L215" i="5"/>
  <c r="K215" i="5"/>
  <c r="J215" i="5"/>
  <c r="P214" i="5"/>
  <c r="L214" i="5"/>
  <c r="K214" i="5"/>
  <c r="J214" i="5"/>
  <c r="P218" i="5"/>
  <c r="L218" i="5"/>
  <c r="K218" i="5"/>
  <c r="J218" i="5"/>
  <c r="P209" i="5"/>
  <c r="L209" i="5"/>
  <c r="K209" i="5"/>
  <c r="J209" i="5"/>
  <c r="P201" i="5"/>
  <c r="L201" i="5"/>
  <c r="K201" i="5"/>
  <c r="J201" i="5"/>
  <c r="P200" i="5"/>
  <c r="L200" i="5"/>
  <c r="K200" i="5"/>
  <c r="J200" i="5"/>
  <c r="P208" i="5"/>
  <c r="L208" i="5"/>
  <c r="K208" i="5"/>
  <c r="J208" i="5"/>
  <c r="P213" i="5"/>
  <c r="L213" i="5"/>
  <c r="K213" i="5"/>
  <c r="J213" i="5"/>
  <c r="P212" i="5"/>
  <c r="L212" i="5"/>
  <c r="K212" i="5"/>
  <c r="J212" i="5"/>
  <c r="P211" i="5"/>
  <c r="L211" i="5"/>
  <c r="K211" i="5"/>
  <c r="J211" i="5"/>
  <c r="P207" i="5"/>
  <c r="L207" i="5"/>
  <c r="K207" i="5"/>
  <c r="J207" i="5"/>
  <c r="P205" i="5"/>
  <c r="L205" i="5"/>
  <c r="K205" i="5"/>
  <c r="J205" i="5"/>
  <c r="P204" i="5"/>
  <c r="L204" i="5"/>
  <c r="K204" i="5"/>
  <c r="J204" i="5"/>
  <c r="P203" i="5"/>
  <c r="J203" i="5"/>
  <c r="P202" i="5"/>
  <c r="L202" i="5"/>
  <c r="K202" i="5"/>
  <c r="J202" i="5"/>
  <c r="P199" i="5"/>
  <c r="L199" i="5"/>
  <c r="K199" i="5"/>
  <c r="J199" i="5"/>
  <c r="P206" i="5"/>
  <c r="L206" i="5"/>
  <c r="K206" i="5"/>
  <c r="J206" i="5"/>
  <c r="P210" i="5"/>
  <c r="L210" i="5"/>
  <c r="K210" i="5"/>
  <c r="J210" i="5"/>
  <c r="P198" i="5"/>
  <c r="L198" i="5"/>
  <c r="K198" i="5"/>
  <c r="J198" i="5"/>
  <c r="P189" i="5"/>
  <c r="L189" i="5"/>
  <c r="K189" i="5"/>
  <c r="J189" i="5"/>
  <c r="P185" i="5"/>
  <c r="L185" i="5"/>
  <c r="K185" i="5"/>
  <c r="J185" i="5"/>
  <c r="P184" i="5"/>
  <c r="L184" i="5"/>
  <c r="K184" i="5"/>
  <c r="P197" i="5"/>
  <c r="L197" i="5"/>
  <c r="K197" i="5"/>
  <c r="J197" i="5"/>
  <c r="P193" i="5"/>
  <c r="L193" i="5"/>
  <c r="K193" i="5"/>
  <c r="J193" i="5"/>
  <c r="P192" i="5"/>
  <c r="L192" i="5"/>
  <c r="K192" i="5"/>
  <c r="J192" i="5"/>
  <c r="L196" i="5"/>
  <c r="K196" i="5"/>
  <c r="J196" i="5"/>
  <c r="P191" i="5"/>
  <c r="L191" i="5"/>
  <c r="K191" i="5"/>
  <c r="J191" i="5"/>
  <c r="P188" i="5"/>
  <c r="L188" i="5"/>
  <c r="K188" i="5"/>
  <c r="J188" i="5"/>
  <c r="P195" i="5"/>
  <c r="L195" i="5"/>
  <c r="K195" i="5"/>
  <c r="J195" i="5"/>
  <c r="P194" i="5"/>
  <c r="L194" i="5"/>
  <c r="K194" i="5"/>
  <c r="J194" i="5"/>
  <c r="P190" i="5"/>
  <c r="L190" i="5"/>
  <c r="K190" i="5"/>
  <c r="J190" i="5"/>
  <c r="P187" i="5"/>
  <c r="L187" i="5"/>
  <c r="K187" i="5"/>
  <c r="J187" i="5"/>
  <c r="P183" i="5"/>
  <c r="L183" i="5"/>
  <c r="K183" i="5"/>
  <c r="J183" i="5"/>
  <c r="P186" i="5"/>
  <c r="L186" i="5"/>
  <c r="K186" i="5"/>
  <c r="J186" i="5"/>
  <c r="P182" i="5"/>
  <c r="L182" i="5"/>
  <c r="K182" i="5"/>
  <c r="J182" i="5"/>
  <c r="P181" i="5"/>
  <c r="L181" i="5"/>
  <c r="K181" i="5"/>
  <c r="J181" i="5"/>
  <c r="P173" i="5"/>
  <c r="L173" i="5"/>
  <c r="K173" i="5"/>
  <c r="J173" i="5"/>
  <c r="P172" i="5"/>
  <c r="L172" i="5"/>
  <c r="K172" i="5"/>
  <c r="J172" i="5"/>
  <c r="P180" i="5"/>
  <c r="L180" i="5"/>
  <c r="K180" i="5"/>
  <c r="J180" i="5"/>
  <c r="P179" i="5"/>
  <c r="L179" i="5"/>
  <c r="K179" i="5"/>
  <c r="J179" i="5"/>
  <c r="P177" i="5"/>
  <c r="L177" i="5"/>
  <c r="K177" i="5"/>
  <c r="J177" i="5"/>
  <c r="P176" i="5"/>
  <c r="L176" i="5"/>
  <c r="K176" i="5"/>
  <c r="J176" i="5"/>
  <c r="P175" i="5"/>
  <c r="L175" i="5"/>
  <c r="K175" i="5"/>
  <c r="J175" i="5"/>
  <c r="P178" i="5"/>
  <c r="L178" i="5"/>
  <c r="K178" i="5"/>
  <c r="J178" i="5"/>
  <c r="P171" i="5"/>
  <c r="L171" i="5"/>
  <c r="K171" i="5"/>
  <c r="J171" i="5"/>
  <c r="P170" i="5"/>
  <c r="L170" i="5"/>
  <c r="K170" i="5"/>
  <c r="J170" i="5"/>
  <c r="P174" i="5"/>
  <c r="L174" i="5"/>
  <c r="K174" i="5"/>
  <c r="J174" i="5"/>
  <c r="P169" i="5"/>
  <c r="L169" i="5"/>
  <c r="K169" i="5"/>
  <c r="J169" i="5"/>
  <c r="P168" i="5"/>
  <c r="L168" i="5"/>
  <c r="K168" i="5"/>
  <c r="J168" i="5"/>
  <c r="M168" i="5" s="1"/>
  <c r="P157" i="5"/>
  <c r="L157" i="5"/>
  <c r="K157" i="5"/>
  <c r="J157" i="5"/>
  <c r="P167" i="5"/>
  <c r="L167" i="5"/>
  <c r="K167" i="5"/>
  <c r="J167" i="5"/>
  <c r="P161" i="5"/>
  <c r="L161" i="5"/>
  <c r="K161" i="5"/>
  <c r="J161" i="5"/>
  <c r="L156" i="5"/>
  <c r="K156" i="5"/>
  <c r="J156" i="5"/>
  <c r="P165" i="5"/>
  <c r="L165" i="5"/>
  <c r="K165" i="5"/>
  <c r="J165" i="5"/>
  <c r="P155" i="5"/>
  <c r="L155" i="5"/>
  <c r="K155" i="5"/>
  <c r="J155" i="5"/>
  <c r="P164" i="5"/>
  <c r="L164" i="5"/>
  <c r="K164" i="5"/>
  <c r="J164" i="5"/>
  <c r="P163" i="5"/>
  <c r="L163" i="5"/>
  <c r="K163" i="5"/>
  <c r="J163" i="5"/>
  <c r="P160" i="5"/>
  <c r="L160" i="5"/>
  <c r="K160" i="5"/>
  <c r="J160" i="5"/>
  <c r="P159" i="5"/>
  <c r="L159" i="5"/>
  <c r="K159" i="5"/>
  <c r="J159" i="5"/>
  <c r="P166" i="5"/>
  <c r="L166" i="5"/>
  <c r="K166" i="5"/>
  <c r="J166" i="5"/>
  <c r="P154" i="5"/>
  <c r="L154" i="5"/>
  <c r="K154" i="5"/>
  <c r="J154" i="5"/>
  <c r="P162" i="5"/>
  <c r="L162" i="5"/>
  <c r="K162" i="5"/>
  <c r="J162" i="5"/>
  <c r="P158" i="5"/>
  <c r="L158" i="5"/>
  <c r="K158" i="5"/>
  <c r="J158" i="5"/>
  <c r="P145" i="5"/>
  <c r="L145" i="5"/>
  <c r="K145" i="5"/>
  <c r="J145" i="5"/>
  <c r="P153" i="5"/>
  <c r="L153" i="5"/>
  <c r="K153" i="5"/>
  <c r="J153" i="5"/>
  <c r="P149" i="5"/>
  <c r="L149" i="5"/>
  <c r="K149" i="5"/>
  <c r="J149" i="5"/>
  <c r="P148" i="5"/>
  <c r="L148" i="5"/>
  <c r="K148" i="5"/>
  <c r="J148" i="5"/>
  <c r="P152" i="5"/>
  <c r="L152" i="5"/>
  <c r="K152" i="5"/>
  <c r="J152" i="5"/>
  <c r="P147" i="5"/>
  <c r="L147" i="5"/>
  <c r="K147" i="5"/>
  <c r="J147" i="5"/>
  <c r="P151" i="5"/>
  <c r="L151" i="5"/>
  <c r="K151" i="5"/>
  <c r="J151" i="5"/>
  <c r="P144" i="5"/>
  <c r="L144" i="5"/>
  <c r="K144" i="5"/>
  <c r="J144" i="5"/>
  <c r="P146" i="5"/>
  <c r="L146" i="5"/>
  <c r="K146" i="5"/>
  <c r="J146" i="5"/>
  <c r="P143" i="5"/>
  <c r="L143" i="5"/>
  <c r="K143" i="5"/>
  <c r="J143" i="5"/>
  <c r="P150" i="5"/>
  <c r="L150" i="5"/>
  <c r="K150" i="5"/>
  <c r="J150" i="5"/>
  <c r="P142" i="5"/>
  <c r="L142" i="5"/>
  <c r="K142" i="5"/>
  <c r="J142" i="5"/>
  <c r="P137" i="5"/>
  <c r="L137" i="5"/>
  <c r="K137" i="5"/>
  <c r="J137" i="5"/>
  <c r="P136" i="5"/>
  <c r="L136" i="5"/>
  <c r="K136" i="5"/>
  <c r="J136" i="5"/>
  <c r="P133" i="5"/>
  <c r="L133" i="5"/>
  <c r="K133" i="5"/>
  <c r="J133" i="5"/>
  <c r="P135" i="5"/>
  <c r="L135" i="5"/>
  <c r="K135" i="5"/>
  <c r="J135" i="5"/>
  <c r="P141" i="5"/>
  <c r="L141" i="5"/>
  <c r="K141" i="5"/>
  <c r="J141" i="5"/>
  <c r="P132" i="5"/>
  <c r="L132" i="5"/>
  <c r="K132" i="5"/>
  <c r="J132" i="5"/>
  <c r="P140" i="5"/>
  <c r="L140" i="5"/>
  <c r="K140" i="5"/>
  <c r="J140" i="5"/>
  <c r="P134" i="5"/>
  <c r="L134" i="5"/>
  <c r="K134" i="5"/>
  <c r="J134" i="5"/>
  <c r="P131" i="5"/>
  <c r="L131" i="5"/>
  <c r="K131" i="5"/>
  <c r="J131" i="5"/>
  <c r="P130" i="5"/>
  <c r="L130" i="5"/>
  <c r="K130" i="5"/>
  <c r="J130" i="5"/>
  <c r="P139" i="5"/>
  <c r="L139" i="5"/>
  <c r="K139" i="5"/>
  <c r="J139" i="5"/>
  <c r="P138" i="5"/>
  <c r="L138" i="5"/>
  <c r="K138" i="5"/>
  <c r="J138" i="5"/>
  <c r="P129" i="5"/>
  <c r="L129" i="5"/>
  <c r="K129" i="5"/>
  <c r="J129" i="5"/>
  <c r="P121" i="5"/>
  <c r="L121" i="5"/>
  <c r="K121" i="5"/>
  <c r="J121" i="5"/>
  <c r="P125" i="5"/>
  <c r="L125" i="5"/>
  <c r="K125" i="5"/>
  <c r="J125" i="5"/>
  <c r="P124" i="5"/>
  <c r="L124" i="5"/>
  <c r="K124" i="5"/>
  <c r="J124" i="5"/>
  <c r="L120" i="5"/>
  <c r="K120" i="5"/>
  <c r="J120" i="5"/>
  <c r="P119" i="5"/>
  <c r="L119" i="5"/>
  <c r="K119" i="5"/>
  <c r="J119" i="5"/>
  <c r="P128" i="5"/>
  <c r="L128" i="5"/>
  <c r="K128" i="5"/>
  <c r="J128" i="5"/>
  <c r="P118" i="5"/>
  <c r="L118" i="5"/>
  <c r="K118" i="5"/>
  <c r="J118" i="5"/>
  <c r="P127" i="5"/>
  <c r="L127" i="5"/>
  <c r="K127" i="5"/>
  <c r="J127" i="5"/>
  <c r="P123" i="5"/>
  <c r="L123" i="5"/>
  <c r="K123" i="5"/>
  <c r="J123" i="5"/>
  <c r="P126" i="5"/>
  <c r="L126" i="5"/>
  <c r="K126" i="5"/>
  <c r="J126" i="5"/>
  <c r="P122" i="5"/>
  <c r="L122" i="5"/>
  <c r="K122" i="5"/>
  <c r="J122" i="5"/>
  <c r="P105" i="5"/>
  <c r="L105" i="5"/>
  <c r="K105" i="5"/>
  <c r="J105" i="5"/>
  <c r="P109" i="5"/>
  <c r="L109" i="5"/>
  <c r="K109" i="5"/>
  <c r="J109" i="5"/>
  <c r="P104" i="5"/>
  <c r="L104" i="5"/>
  <c r="K104" i="5"/>
  <c r="J104" i="5"/>
  <c r="P117" i="5"/>
  <c r="L117" i="5"/>
  <c r="K117" i="5"/>
  <c r="J117" i="5"/>
  <c r="P116" i="5"/>
  <c r="L116" i="5"/>
  <c r="K116" i="5"/>
  <c r="J116" i="5"/>
  <c r="P113" i="5"/>
  <c r="L113" i="5"/>
  <c r="K113" i="5"/>
  <c r="J113" i="5"/>
  <c r="P103" i="5"/>
  <c r="L103" i="5"/>
  <c r="K103" i="5"/>
  <c r="J103" i="5"/>
  <c r="P115" i="5"/>
  <c r="L115" i="5"/>
  <c r="K115" i="5"/>
  <c r="J115" i="5"/>
  <c r="P108" i="5"/>
  <c r="L108" i="5"/>
  <c r="K108" i="5"/>
  <c r="J108" i="5"/>
  <c r="P114" i="5"/>
  <c r="L114" i="5"/>
  <c r="K114" i="5"/>
  <c r="J114" i="5"/>
  <c r="P102" i="5"/>
  <c r="L102" i="5"/>
  <c r="K102" i="5"/>
  <c r="J102" i="5"/>
  <c r="P112" i="5"/>
  <c r="L112" i="5"/>
  <c r="K112" i="5"/>
  <c r="J112" i="5"/>
  <c r="P107" i="5"/>
  <c r="L107" i="5"/>
  <c r="K107" i="5"/>
  <c r="J107" i="5"/>
  <c r="P111" i="5"/>
  <c r="L111" i="5"/>
  <c r="K111" i="5"/>
  <c r="J111" i="5"/>
  <c r="P110" i="5"/>
  <c r="L110" i="5"/>
  <c r="K110" i="5"/>
  <c r="J110" i="5"/>
  <c r="P106" i="5"/>
  <c r="L106" i="5"/>
  <c r="K106" i="5"/>
  <c r="J106" i="5"/>
  <c r="P101" i="5"/>
  <c r="L101" i="5"/>
  <c r="K101" i="5"/>
  <c r="J101" i="5"/>
  <c r="P97" i="5"/>
  <c r="L97" i="5"/>
  <c r="K97" i="5"/>
  <c r="J97" i="5"/>
  <c r="P93" i="5"/>
  <c r="L93" i="5"/>
  <c r="K93" i="5"/>
  <c r="J93" i="5"/>
  <c r="P96" i="5"/>
  <c r="L96" i="5"/>
  <c r="K96" i="5"/>
  <c r="J96" i="5"/>
  <c r="P92" i="5"/>
  <c r="L92" i="5"/>
  <c r="K92" i="5"/>
  <c r="J92" i="5"/>
  <c r="P95" i="5"/>
  <c r="L95" i="5"/>
  <c r="K95" i="5"/>
  <c r="J95" i="5"/>
  <c r="P100" i="5"/>
  <c r="L100" i="5"/>
  <c r="K100" i="5"/>
  <c r="J100" i="5"/>
  <c r="P99" i="5"/>
  <c r="L99" i="5"/>
  <c r="K99" i="5"/>
  <c r="J99" i="5"/>
  <c r="L89" i="5"/>
  <c r="K89" i="5"/>
  <c r="J89" i="5"/>
  <c r="P88" i="5"/>
  <c r="L88" i="5"/>
  <c r="K88" i="5"/>
  <c r="J88" i="5"/>
  <c r="P87" i="5"/>
  <c r="L87" i="5"/>
  <c r="K87" i="5"/>
  <c r="J87" i="5"/>
  <c r="P98" i="5"/>
  <c r="L98" i="5"/>
  <c r="K98" i="5"/>
  <c r="J98" i="5"/>
  <c r="P91" i="5"/>
  <c r="L91" i="5"/>
  <c r="K91" i="5"/>
  <c r="J91" i="5"/>
  <c r="P94" i="5"/>
  <c r="L94" i="5"/>
  <c r="K94" i="5"/>
  <c r="J94" i="5"/>
  <c r="P90" i="5"/>
  <c r="J90" i="5"/>
  <c r="P86" i="5"/>
  <c r="L86" i="5"/>
  <c r="K86" i="5"/>
  <c r="J86" i="5"/>
  <c r="P77" i="5"/>
  <c r="L77" i="5"/>
  <c r="K77" i="5"/>
  <c r="J77" i="5"/>
  <c r="L76" i="5"/>
  <c r="K76" i="5"/>
  <c r="J76" i="5"/>
  <c r="P75" i="5"/>
  <c r="L75" i="5"/>
  <c r="K75" i="5"/>
  <c r="J75" i="5"/>
  <c r="P81" i="5"/>
  <c r="L81" i="5"/>
  <c r="K81" i="5"/>
  <c r="J81" i="5"/>
  <c r="P80" i="5"/>
  <c r="L80" i="5"/>
  <c r="K80" i="5"/>
  <c r="J80" i="5"/>
  <c r="P74" i="5"/>
  <c r="L74" i="5"/>
  <c r="K74" i="5"/>
  <c r="J74" i="5"/>
  <c r="P85" i="5"/>
  <c r="L85" i="5"/>
  <c r="K85" i="5"/>
  <c r="J85" i="5"/>
  <c r="P79" i="5"/>
  <c r="L79" i="5"/>
  <c r="K79" i="5"/>
  <c r="J79" i="5"/>
  <c r="P84" i="5"/>
  <c r="L84" i="5"/>
  <c r="K84" i="5"/>
  <c r="J84" i="5"/>
  <c r="P83" i="5"/>
  <c r="L83" i="5"/>
  <c r="K83" i="5"/>
  <c r="J83" i="5"/>
  <c r="P78" i="5"/>
  <c r="L78" i="5"/>
  <c r="K78" i="5"/>
  <c r="J78" i="5"/>
  <c r="P82" i="5"/>
  <c r="L82" i="5"/>
  <c r="K82" i="5"/>
  <c r="J82" i="5"/>
  <c r="P73" i="5"/>
  <c r="L73" i="5"/>
  <c r="K73" i="5"/>
  <c r="J73" i="5"/>
  <c r="P65" i="5"/>
  <c r="L65" i="5"/>
  <c r="K65" i="5"/>
  <c r="J65" i="5"/>
  <c r="P64" i="5"/>
  <c r="L64" i="5"/>
  <c r="K64" i="5"/>
  <c r="J64" i="5"/>
  <c r="P63" i="5"/>
  <c r="L63" i="5"/>
  <c r="K63" i="5"/>
  <c r="J63" i="5"/>
  <c r="P62" i="5"/>
  <c r="L62" i="5"/>
  <c r="K62" i="5"/>
  <c r="J62" i="5"/>
  <c r="L69" i="5"/>
  <c r="K69" i="5"/>
  <c r="J69" i="5"/>
  <c r="P72" i="5"/>
  <c r="L72" i="5"/>
  <c r="K72" i="5"/>
  <c r="J72" i="5"/>
  <c r="P68" i="5"/>
  <c r="L68" i="5"/>
  <c r="K68" i="5"/>
  <c r="J68" i="5"/>
  <c r="P67" i="5"/>
  <c r="L67" i="5"/>
  <c r="K67" i="5"/>
  <c r="J67" i="5"/>
  <c r="P66" i="5"/>
  <c r="L66" i="5"/>
  <c r="K66" i="5"/>
  <c r="J66" i="5"/>
  <c r="P71" i="5"/>
  <c r="L71" i="5"/>
  <c r="K71" i="5"/>
  <c r="J71" i="5"/>
  <c r="L70" i="5"/>
  <c r="K70" i="5"/>
  <c r="J70" i="5"/>
  <c r="P57" i="5"/>
  <c r="L57" i="5"/>
  <c r="K57" i="5"/>
  <c r="J57" i="5"/>
  <c r="P61" i="5"/>
  <c r="L61" i="5"/>
  <c r="K61" i="5"/>
  <c r="J61" i="5"/>
  <c r="P56" i="5"/>
  <c r="L56" i="5"/>
  <c r="K56" i="5"/>
  <c r="J56" i="5"/>
  <c r="P55" i="5"/>
  <c r="L55" i="5"/>
  <c r="K55" i="5"/>
  <c r="J55" i="5"/>
  <c r="P60" i="5"/>
  <c r="L60" i="5"/>
  <c r="K60" i="5"/>
  <c r="J60" i="5"/>
  <c r="P59" i="5"/>
  <c r="L59" i="5"/>
  <c r="K59" i="5"/>
  <c r="J59" i="5"/>
  <c r="P54" i="5"/>
  <c r="L54" i="5"/>
  <c r="K54" i="5"/>
  <c r="J54" i="5"/>
  <c r="P58" i="5"/>
  <c r="L58" i="5"/>
  <c r="K58" i="5"/>
  <c r="J58" i="5"/>
  <c r="P49" i="5"/>
  <c r="L49" i="5"/>
  <c r="K49" i="5"/>
  <c r="J49" i="5"/>
  <c r="P53" i="5"/>
  <c r="L53" i="5"/>
  <c r="K53" i="5"/>
  <c r="J53" i="5"/>
  <c r="L45" i="5"/>
  <c r="K45" i="5"/>
  <c r="J45" i="5"/>
  <c r="P48" i="5"/>
  <c r="L48" i="5"/>
  <c r="K48" i="5"/>
  <c r="J48" i="5"/>
  <c r="P52" i="5"/>
  <c r="L52" i="5"/>
  <c r="K52" i="5"/>
  <c r="M52" i="5" s="1"/>
  <c r="J52" i="5"/>
  <c r="P44" i="5"/>
  <c r="L44" i="5"/>
  <c r="K44" i="5"/>
  <c r="J44" i="5"/>
  <c r="P47" i="5"/>
  <c r="L47" i="5"/>
  <c r="K47" i="5"/>
  <c r="J47" i="5"/>
  <c r="P51" i="5"/>
  <c r="L51" i="5"/>
  <c r="K51" i="5"/>
  <c r="J51" i="5"/>
  <c r="P46" i="5"/>
  <c r="L46" i="5"/>
  <c r="K46" i="5"/>
  <c r="J46" i="5"/>
  <c r="P50" i="5"/>
  <c r="L50" i="5"/>
  <c r="K50" i="5"/>
  <c r="J50" i="5"/>
  <c r="P43" i="5"/>
  <c r="L43" i="5"/>
  <c r="K43" i="5"/>
  <c r="J43" i="5"/>
  <c r="P42" i="5"/>
  <c r="L42" i="5"/>
  <c r="K42" i="5"/>
  <c r="J42" i="5"/>
  <c r="P41" i="5"/>
  <c r="L41" i="5"/>
  <c r="K41" i="5"/>
  <c r="J41" i="5"/>
  <c r="P37" i="5"/>
  <c r="L37" i="5"/>
  <c r="K37" i="5"/>
  <c r="J37" i="5"/>
  <c r="L36" i="5"/>
  <c r="K36" i="5"/>
  <c r="J36" i="5"/>
  <c r="L35" i="5"/>
  <c r="K35" i="5"/>
  <c r="J35" i="5"/>
  <c r="P29" i="5"/>
  <c r="L29" i="5"/>
  <c r="K29" i="5"/>
  <c r="J29" i="5"/>
  <c r="P34" i="5"/>
  <c r="L34" i="5"/>
  <c r="K34" i="5"/>
  <c r="J34" i="5"/>
  <c r="P40" i="5"/>
  <c r="L40" i="5"/>
  <c r="K40" i="5"/>
  <c r="J40" i="5"/>
  <c r="P33" i="5"/>
  <c r="L33" i="5"/>
  <c r="K33" i="5"/>
  <c r="J33" i="5"/>
  <c r="L39" i="5"/>
  <c r="K39" i="5"/>
  <c r="J39" i="5"/>
  <c r="P28" i="5"/>
  <c r="L28" i="5"/>
  <c r="K28" i="5"/>
  <c r="J28" i="5"/>
  <c r="P32" i="5"/>
  <c r="L32" i="5"/>
  <c r="K32" i="5"/>
  <c r="J32" i="5"/>
  <c r="P38" i="5"/>
  <c r="L38" i="5"/>
  <c r="K38" i="5"/>
  <c r="J38" i="5"/>
  <c r="P31" i="5"/>
  <c r="L31" i="5"/>
  <c r="K31" i="5"/>
  <c r="J31" i="5"/>
  <c r="P30" i="5"/>
  <c r="L30" i="5"/>
  <c r="K30" i="5"/>
  <c r="J30" i="5"/>
  <c r="P27" i="5"/>
  <c r="L27" i="5"/>
  <c r="K27" i="5"/>
  <c r="J27" i="5"/>
  <c r="K26" i="5"/>
  <c r="P21" i="5"/>
  <c r="L21" i="5"/>
  <c r="K21" i="5"/>
  <c r="J21" i="5"/>
  <c r="P25" i="5"/>
  <c r="L25" i="5"/>
  <c r="K25" i="5"/>
  <c r="J25" i="5"/>
  <c r="P24" i="5"/>
  <c r="L24" i="5"/>
  <c r="K24" i="5"/>
  <c r="J24" i="5"/>
  <c r="P20" i="5"/>
  <c r="L20" i="5"/>
  <c r="K20" i="5"/>
  <c r="J20" i="5"/>
  <c r="P17" i="5"/>
  <c r="L17" i="5"/>
  <c r="K17" i="5"/>
  <c r="J17" i="5"/>
  <c r="P19" i="5"/>
  <c r="L19" i="5"/>
  <c r="K19" i="5"/>
  <c r="J19" i="5"/>
  <c r="P18" i="5"/>
  <c r="L18" i="5"/>
  <c r="K18" i="5"/>
  <c r="J18" i="5"/>
  <c r="P23" i="5"/>
  <c r="L23" i="5"/>
  <c r="K23" i="5"/>
  <c r="J23" i="5"/>
  <c r="P16" i="5"/>
  <c r="L16" i="5"/>
  <c r="K16" i="5"/>
  <c r="J16" i="5"/>
  <c r="P15" i="5"/>
  <c r="L15" i="5"/>
  <c r="K15" i="5"/>
  <c r="J15" i="5"/>
  <c r="P22" i="5"/>
  <c r="L22" i="5"/>
  <c r="K22" i="5"/>
  <c r="J22" i="5"/>
  <c r="P14" i="5"/>
  <c r="L14" i="5"/>
  <c r="K14" i="5"/>
  <c r="J14" i="5"/>
  <c r="P13" i="5"/>
  <c r="L13" i="5"/>
  <c r="K13" i="5"/>
  <c r="J13" i="5"/>
  <c r="P12" i="5"/>
  <c r="L12" i="5"/>
  <c r="K12" i="5"/>
  <c r="J12" i="5"/>
  <c r="P9" i="5"/>
  <c r="L9" i="5"/>
  <c r="K9" i="5"/>
  <c r="J9" i="5"/>
  <c r="P5" i="5"/>
  <c r="L5" i="5"/>
  <c r="K5" i="5"/>
  <c r="J5" i="5"/>
  <c r="P4" i="5"/>
  <c r="L4" i="5"/>
  <c r="K4" i="5"/>
  <c r="J4" i="5"/>
  <c r="P11" i="5"/>
  <c r="L11" i="5"/>
  <c r="K11" i="5"/>
  <c r="J11" i="5"/>
  <c r="P8" i="5"/>
  <c r="L8" i="5"/>
  <c r="K8" i="5"/>
  <c r="J8" i="5"/>
  <c r="P10" i="5"/>
  <c r="L10" i="5"/>
  <c r="K10" i="5"/>
  <c r="J10" i="5"/>
  <c r="P3" i="5"/>
  <c r="L3" i="5"/>
  <c r="K3" i="5"/>
  <c r="J3" i="5"/>
  <c r="P7" i="5"/>
  <c r="L7" i="5"/>
  <c r="K7" i="5"/>
  <c r="J7" i="5"/>
  <c r="P6" i="5"/>
  <c r="L6" i="5"/>
  <c r="K6" i="5"/>
  <c r="J6" i="5"/>
  <c r="P2" i="5"/>
  <c r="L2" i="5"/>
  <c r="K2" i="5"/>
  <c r="J2" i="5"/>
  <c r="M262" i="5" l="1"/>
  <c r="M47" i="5"/>
  <c r="M56" i="5"/>
  <c r="M85" i="5"/>
  <c r="M122" i="5"/>
  <c r="M9" i="5"/>
  <c r="M225" i="5"/>
  <c r="M256" i="5"/>
  <c r="M117" i="5"/>
  <c r="M115" i="5"/>
  <c r="M7" i="5"/>
  <c r="M86" i="5"/>
  <c r="M129" i="5"/>
  <c r="M139" i="5"/>
  <c r="M179" i="5"/>
  <c r="M110" i="5"/>
  <c r="M99" i="5"/>
  <c r="M261" i="5"/>
  <c r="M19" i="5"/>
  <c r="M51" i="5"/>
  <c r="M66" i="5"/>
  <c r="M89" i="5"/>
  <c r="M192" i="5"/>
  <c r="M202" i="5"/>
  <c r="M214" i="5"/>
  <c r="M217" i="5"/>
  <c r="M228" i="5"/>
  <c r="M232" i="5"/>
  <c r="M233" i="5"/>
  <c r="M238" i="5"/>
  <c r="M242" i="5"/>
  <c r="M255" i="5"/>
  <c r="M195" i="5"/>
  <c r="M136" i="5"/>
  <c r="M147" i="5"/>
  <c r="M148" i="5"/>
  <c r="M190" i="5"/>
  <c r="M200" i="5"/>
  <c r="M28" i="5"/>
  <c r="M209" i="5"/>
  <c r="M170" i="5"/>
  <c r="M172" i="5"/>
  <c r="M220" i="5"/>
  <c r="M258" i="5"/>
  <c r="M25" i="5"/>
  <c r="M140" i="5"/>
  <c r="M141" i="5"/>
  <c r="M79" i="5"/>
  <c r="M107" i="5"/>
  <c r="M126" i="5"/>
  <c r="M151" i="5"/>
  <c r="M149" i="5"/>
  <c r="M145" i="5"/>
  <c r="M162" i="5"/>
  <c r="M181" i="5"/>
  <c r="M186" i="5"/>
  <c r="M187" i="5"/>
  <c r="M194" i="5"/>
  <c r="M207" i="5"/>
  <c r="M218" i="5"/>
  <c r="M221" i="5"/>
  <c r="M246" i="5"/>
  <c r="M248" i="5"/>
  <c r="M239" i="5"/>
  <c r="M53" i="5"/>
  <c r="M58" i="5"/>
  <c r="M61" i="5"/>
  <c r="M70" i="5"/>
  <c r="M68" i="5"/>
  <c r="M69" i="5"/>
  <c r="M91" i="5"/>
  <c r="M206" i="5"/>
  <c r="M20" i="5"/>
  <c r="M131" i="5"/>
  <c r="M133" i="5"/>
  <c r="M34" i="5"/>
  <c r="M84" i="5"/>
  <c r="M119" i="5"/>
  <c r="M142" i="5"/>
  <c r="M159" i="5"/>
  <c r="M156" i="5"/>
  <c r="M174" i="5"/>
  <c r="M171" i="5"/>
  <c r="M177" i="5"/>
  <c r="M197" i="5"/>
  <c r="M211" i="5"/>
  <c r="M213" i="5"/>
  <c r="M236" i="5"/>
  <c r="M245" i="5"/>
  <c r="M10" i="5"/>
  <c r="M41" i="5"/>
  <c r="M67" i="5"/>
  <c r="M72" i="5"/>
  <c r="M88" i="5"/>
  <c r="M189" i="5"/>
  <c r="M12" i="5"/>
  <c r="M14" i="5"/>
  <c r="M35" i="5"/>
  <c r="M63" i="5"/>
  <c r="M65" i="5"/>
  <c r="M74" i="5"/>
  <c r="M95" i="5"/>
  <c r="M96" i="5"/>
  <c r="M97" i="5"/>
  <c r="M106" i="5"/>
  <c r="M146" i="5"/>
  <c r="M182" i="5"/>
  <c r="M183" i="5"/>
  <c r="M185" i="5"/>
  <c r="M198" i="5"/>
  <c r="M208" i="5"/>
  <c r="M201" i="5"/>
  <c r="M267" i="5"/>
  <c r="M6" i="5"/>
  <c r="M124" i="5"/>
  <c r="M166" i="5"/>
  <c r="M164" i="5"/>
  <c r="M165" i="5"/>
  <c r="M240" i="5"/>
  <c r="M31" i="5"/>
  <c r="M36" i="5"/>
  <c r="M49" i="5"/>
  <c r="M60" i="5"/>
  <c r="M123" i="5"/>
  <c r="M130" i="5"/>
  <c r="M134" i="5"/>
  <c r="M169" i="5"/>
  <c r="M216" i="5"/>
  <c r="M230" i="5"/>
  <c r="M32" i="5"/>
  <c r="M54" i="5"/>
  <c r="M13" i="5"/>
  <c r="M22" i="5"/>
  <c r="M16" i="5"/>
  <c r="M18" i="5"/>
  <c r="M29" i="5"/>
  <c r="M45" i="5"/>
  <c r="M62" i="5"/>
  <c r="M73" i="5"/>
  <c r="M78" i="5"/>
  <c r="M80" i="5"/>
  <c r="M77" i="5"/>
  <c r="M100" i="5"/>
  <c r="M92" i="5"/>
  <c r="M210" i="5"/>
  <c r="M229" i="5"/>
  <c r="M259" i="5"/>
  <c r="M264" i="5"/>
  <c r="M266" i="5"/>
  <c r="M268" i="5"/>
  <c r="M263" i="5"/>
  <c r="M2" i="5"/>
  <c r="M37" i="5"/>
  <c r="M42" i="5"/>
  <c r="M50" i="5"/>
  <c r="M98" i="5"/>
  <c r="M102" i="5"/>
  <c r="M108" i="5"/>
  <c r="M103" i="5"/>
  <c r="M116" i="5"/>
  <c r="M127" i="5"/>
  <c r="M154" i="5"/>
  <c r="M167" i="5"/>
  <c r="M222" i="5"/>
  <c r="M223" i="5"/>
  <c r="M224" i="5"/>
  <c r="M241" i="5"/>
  <c r="M252" i="5"/>
  <c r="M39" i="5"/>
  <c r="M48" i="5"/>
  <c r="M82" i="5"/>
  <c r="M83" i="5"/>
  <c r="M111" i="5"/>
  <c r="M104" i="5"/>
  <c r="M105" i="5"/>
  <c r="M137" i="5"/>
  <c r="M153" i="5"/>
  <c r="M161" i="5"/>
  <c r="M46" i="5"/>
  <c r="M59" i="5"/>
  <c r="M188" i="5"/>
  <c r="M191" i="5"/>
  <c r="M204" i="5"/>
  <c r="M244" i="5"/>
  <c r="M43" i="5"/>
  <c r="M180" i="5"/>
  <c r="M27" i="5"/>
  <c r="M143" i="5"/>
  <c r="M144" i="5"/>
  <c r="M226" i="5"/>
  <c r="M227" i="5"/>
  <c r="M265" i="5"/>
  <c r="M5" i="5"/>
  <c r="M87" i="5"/>
  <c r="M118" i="5"/>
  <c r="M160" i="5"/>
  <c r="M175" i="5"/>
  <c r="M212" i="5"/>
  <c r="M254" i="5"/>
  <c r="M11" i="5"/>
  <c r="M71" i="5"/>
  <c r="M75" i="5"/>
  <c r="M138" i="5"/>
  <c r="M17" i="5"/>
  <c r="M158" i="5"/>
  <c r="M44" i="5"/>
  <c r="M57" i="5"/>
  <c r="M121" i="5"/>
  <c r="M231" i="5"/>
  <c r="M243" i="5"/>
  <c r="M21" i="5"/>
  <c r="M55" i="5"/>
  <c r="M94" i="5"/>
  <c r="M112" i="5"/>
  <c r="M193" i="5"/>
  <c r="M253" i="5"/>
  <c r="M3" i="5"/>
  <c r="M15" i="5"/>
  <c r="M23" i="5"/>
  <c r="M30" i="5"/>
  <c r="M38" i="5"/>
  <c r="M93" i="5"/>
  <c r="M101" i="5"/>
  <c r="M132" i="5"/>
  <c r="M135" i="5"/>
  <c r="M173" i="5"/>
  <c r="M199" i="5"/>
  <c r="M215" i="5"/>
  <c r="M234" i="5"/>
  <c r="M235" i="5"/>
  <c r="M257" i="5"/>
  <c r="M40" i="5"/>
  <c r="M157" i="5"/>
  <c r="M24" i="5"/>
  <c r="M114" i="5"/>
  <c r="M150" i="5"/>
  <c r="M196" i="5"/>
  <c r="M205" i="5"/>
  <c r="M237" i="5"/>
  <c r="M269" i="5"/>
  <c r="M8" i="5"/>
  <c r="M4" i="5"/>
  <c r="M33" i="5"/>
  <c r="M64" i="5"/>
  <c r="M81" i="5"/>
  <c r="M76" i="5"/>
  <c r="M113" i="5"/>
  <c r="M109" i="5"/>
  <c r="M128" i="5"/>
  <c r="M120" i="5"/>
  <c r="M125" i="5"/>
  <c r="M152" i="5"/>
  <c r="M163" i="5"/>
  <c r="M155" i="5"/>
  <c r="M178" i="5"/>
  <c r="M176" i="5"/>
  <c r="M219" i="5"/>
  <c r="M247" i="5"/>
  <c r="M249" i="5"/>
  <c r="M250" i="5"/>
  <c r="M251" i="5"/>
</calcChain>
</file>

<file path=xl/sharedStrings.xml><?xml version="1.0" encoding="utf-8"?>
<sst xmlns="http://schemas.openxmlformats.org/spreadsheetml/2006/main" count="1992" uniqueCount="124">
  <si>
    <t>GR</t>
  </si>
  <si>
    <t>TRS</t>
  </si>
  <si>
    <t>CCRS</t>
  </si>
  <si>
    <t>NT</t>
  </si>
  <si>
    <t>UPRS</t>
  </si>
  <si>
    <t>WL</t>
  </si>
  <si>
    <t>SRS</t>
  </si>
  <si>
    <t>CT</t>
  </si>
  <si>
    <t>Wilkerson</t>
  </si>
  <si>
    <t>PBRS</t>
  </si>
  <si>
    <t>OTRS</t>
  </si>
  <si>
    <t>UCPRS</t>
  </si>
  <si>
    <t>URF</t>
  </si>
  <si>
    <t>UMRS</t>
  </si>
  <si>
    <t>.</t>
  </si>
  <si>
    <t>BBC</t>
  </si>
  <si>
    <t>Cherry</t>
  </si>
  <si>
    <t>MRS</t>
  </si>
  <si>
    <t>Clinton</t>
  </si>
  <si>
    <t>LWR</t>
  </si>
  <si>
    <t>LCPRS</t>
  </si>
  <si>
    <t>MHCRS</t>
  </si>
  <si>
    <t>Fountain</t>
  </si>
  <si>
    <t>PRS</t>
  </si>
  <si>
    <t>Currin</t>
  </si>
  <si>
    <t>WBFL</t>
  </si>
  <si>
    <t>BSR crushed</t>
  </si>
  <si>
    <t>Replication</t>
  </si>
  <si>
    <t>Land use</t>
  </si>
  <si>
    <t>Location</t>
  </si>
  <si>
    <t xml:space="preserve">Lab ID </t>
  </si>
  <si>
    <t>Amount(ml)</t>
  </si>
  <si>
    <t>STBA intact</t>
  </si>
  <si>
    <t>STBA crushed</t>
  </si>
  <si>
    <t>CMIN intact</t>
  </si>
  <si>
    <t>CMIN crushed</t>
  </si>
  <si>
    <t>BSR intact</t>
  </si>
  <si>
    <t>Protected03</t>
  </si>
  <si>
    <t>Protected024</t>
  </si>
  <si>
    <t>TNmgN/gsoil</t>
  </si>
  <si>
    <t>TCmgC/gsoil</t>
  </si>
  <si>
    <t>Initial macroaggregate NO3-N ppm</t>
  </si>
  <si>
    <t>Intact 24-day NO3-N ppm</t>
  </si>
  <si>
    <t>Crushed 24-day NO3-N ppm</t>
  </si>
  <si>
    <t>Initial macroaggreagte NH4-N ppm</t>
  </si>
  <si>
    <t>Intact  24-day NH4-N ppm</t>
  </si>
  <si>
    <t>Crushed 24-day NH4-N ppm</t>
  </si>
  <si>
    <t>Net NMIN24 crushed</t>
  </si>
  <si>
    <t>Net NMIN24 intact</t>
  </si>
  <si>
    <t>Initial inorganic N</t>
  </si>
  <si>
    <t>Soil wt</t>
  </si>
  <si>
    <t>Dagg1 (&gt;1 mm)</t>
  </si>
  <si>
    <t>Dagg2 (0.25-1 mm)</t>
  </si>
  <si>
    <t>Dagg3 (0.053-0.25 mm)</t>
  </si>
  <si>
    <t>Dagg4 (&lt;0.053 mm)</t>
  </si>
  <si>
    <t>Wagg1 (&gt;1 mm)</t>
  </si>
  <si>
    <t>Wagg2 (0.25-1 mm)</t>
  </si>
  <si>
    <t>macroaggr_fraction</t>
  </si>
  <si>
    <t>Mass required</t>
  </si>
  <si>
    <t>Difference</t>
  </si>
  <si>
    <t>Wagg3 (0.053-0.25 mm)</t>
  </si>
  <si>
    <t>Wagg4 (&lt;0.053 mm)</t>
  </si>
  <si>
    <t>DMWD (mm)</t>
  </si>
  <si>
    <t>WMWD (mm)</t>
  </si>
  <si>
    <t>MacStab</t>
  </si>
  <si>
    <t>MWDStab</t>
  </si>
  <si>
    <t>DxW MWD</t>
  </si>
  <si>
    <t>1 mm stab</t>
  </si>
  <si>
    <t>Density</t>
  </si>
  <si>
    <t>TSN</t>
  </si>
  <si>
    <t>TOC</t>
  </si>
  <si>
    <t>STBA</t>
  </si>
  <si>
    <t>Bulk density (Mg/m3)</t>
  </si>
  <si>
    <t>Coarse fraction (%)</t>
  </si>
  <si>
    <t>Clay (kg/kg)</t>
  </si>
  <si>
    <t>Silt (kg/kg)</t>
  </si>
  <si>
    <t>Sand (kg/kg)</t>
  </si>
  <si>
    <t>HM</t>
  </si>
  <si>
    <t>Ndens</t>
  </si>
  <si>
    <t>CEC</t>
  </si>
  <si>
    <t>BS</t>
  </si>
  <si>
    <t>Acidity</t>
  </si>
  <si>
    <t>pH</t>
  </si>
  <si>
    <t>STP</t>
  </si>
  <si>
    <t>STK</t>
  </si>
  <si>
    <t>Ca</t>
  </si>
  <si>
    <t>Mg</t>
  </si>
  <si>
    <t>S</t>
  </si>
  <si>
    <t>Mn</t>
  </si>
  <si>
    <t>Zn</t>
  </si>
  <si>
    <t>Cu</t>
  </si>
  <si>
    <t>Na*</t>
  </si>
  <si>
    <t>K*</t>
  </si>
  <si>
    <t>Ca*</t>
  </si>
  <si>
    <t>Mg*</t>
  </si>
  <si>
    <t>Dependent</t>
  </si>
  <si>
    <t>RSquare</t>
  </si>
  <si>
    <t>CV</t>
  </si>
  <si>
    <t>Root MSE</t>
  </si>
  <si>
    <t>Mean</t>
  </si>
  <si>
    <t>BSRc</t>
  </si>
  <si>
    <t>BSRi</t>
  </si>
  <si>
    <t>CMINc</t>
  </si>
  <si>
    <t>CMINi</t>
  </si>
  <si>
    <t>Net_NMIN24_crushed</t>
  </si>
  <si>
    <t>Net_NMIN24_intact</t>
  </si>
  <si>
    <t>ProtC24d</t>
  </si>
  <si>
    <t>ProtC3d</t>
  </si>
  <si>
    <t>ProtN24d</t>
  </si>
  <si>
    <t>STBAc</t>
  </si>
  <si>
    <t>STBAi</t>
  </si>
  <si>
    <t>Land_use</t>
  </si>
  <si>
    <t>Clay</t>
  </si>
  <si>
    <t>Silt</t>
  </si>
  <si>
    <t>Sand</t>
  </si>
  <si>
    <t>1CT</t>
  </si>
  <si>
    <t>2NT</t>
  </si>
  <si>
    <t>3GR</t>
  </si>
  <si>
    <t>4WL</t>
  </si>
  <si>
    <t>MLRA</t>
  </si>
  <si>
    <t>Flatwoods</t>
  </si>
  <si>
    <t>Coastal</t>
  </si>
  <si>
    <t>Piedmont</t>
  </si>
  <si>
    <t>BlueRidge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</si>
</sst>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rgb="FF112277"/>
      <name val="Arial"/>
      <family val="2"/>
    </font>
    <font>
      <sz val="10"/>
      <color rgb="FF000000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rgb="FF141413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1" fontId="3" fillId="0" borderId="0" xfId="0" applyNumberFormat="1" applyFont="1"/>
    <xf numFmtId="1" fontId="3" fillId="3" borderId="0" xfId="0" applyNumberFormat="1" applyFont="1" applyFill="1"/>
    <xf numFmtId="0" fontId="3" fillId="0" borderId="1" xfId="0" applyFont="1" applyBorder="1"/>
    <xf numFmtId="2" fontId="3" fillId="0" borderId="1" xfId="0" applyNumberFormat="1" applyFont="1" applyBorder="1"/>
    <xf numFmtId="1" fontId="3" fillId="0" borderId="1" xfId="0" applyNumberFormat="1" applyFont="1" applyBorder="1"/>
    <xf numFmtId="0" fontId="0" fillId="0" borderId="1" xfId="0" applyBorder="1"/>
    <xf numFmtId="0" fontId="1" fillId="3" borderId="0" xfId="0" applyFont="1" applyFill="1"/>
    <xf numFmtId="0" fontId="1" fillId="0" borderId="0" xfId="0" applyFont="1"/>
    <xf numFmtId="1" fontId="0" fillId="0" borderId="0" xfId="0" applyNumberFormat="1"/>
    <xf numFmtId="165" fontId="0" fillId="0" borderId="0" xfId="0" applyNumberFormat="1"/>
    <xf numFmtId="1" fontId="0" fillId="0" borderId="0" xfId="0" quotePrefix="1" applyNumberFormat="1"/>
    <xf numFmtId="0" fontId="4" fillId="0" borderId="0" xfId="0" applyFont="1"/>
    <xf numFmtId="0" fontId="5" fillId="4" borderId="0" xfId="0" applyFont="1" applyFill="1"/>
    <xf numFmtId="0" fontId="5" fillId="5" borderId="0" xfId="0" applyFont="1" applyFill="1"/>
    <xf numFmtId="0" fontId="4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D2FA-992D-5A44-9F6F-F878C9618364}">
  <dimension ref="A1:BQ26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S8" sqref="AS8"/>
    </sheetView>
  </sheetViews>
  <sheetFormatPr baseColWidth="10" defaultRowHeight="16" x14ac:dyDescent="0.2"/>
  <cols>
    <col min="6" max="6" width="11.6640625" bestFit="1" customWidth="1"/>
    <col min="7" max="7" width="14.6640625" customWidth="1"/>
    <col min="8" max="11" width="11.6640625" bestFit="1" customWidth="1"/>
    <col min="12" max="12" width="11.33203125" bestFit="1" customWidth="1"/>
    <col min="13" max="13" width="12.33203125" bestFit="1" customWidth="1"/>
    <col min="14" max="15" width="11" bestFit="1" customWidth="1"/>
    <col min="16" max="16" width="24.83203125" customWidth="1"/>
    <col min="17" max="59" width="11" bestFit="1" customWidth="1"/>
    <col min="60" max="60" width="11.6640625" bestFit="1" customWidth="1"/>
    <col min="61" max="69" width="11" bestFit="1" customWidth="1"/>
  </cols>
  <sheetData>
    <row r="1" spans="1:69" s="1" customFormat="1" x14ac:dyDescent="0.2">
      <c r="A1" s="1" t="s">
        <v>31</v>
      </c>
      <c r="B1" s="1" t="s">
        <v>30</v>
      </c>
      <c r="C1" s="1" t="s">
        <v>29</v>
      </c>
      <c r="D1" s="1" t="s">
        <v>28</v>
      </c>
      <c r="E1" s="1" t="s">
        <v>27</v>
      </c>
      <c r="F1" s="1" t="s">
        <v>32</v>
      </c>
      <c r="G1" s="1" t="s">
        <v>33</v>
      </c>
      <c r="H1" s="1" t="s">
        <v>36</v>
      </c>
      <c r="I1" s="1" t="s">
        <v>26</v>
      </c>
      <c r="J1" s="1" t="s">
        <v>34</v>
      </c>
      <c r="K1" s="1" t="s">
        <v>35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  <c r="BE1" s="1" t="s">
        <v>82</v>
      </c>
      <c r="BF1" s="1" t="s">
        <v>83</v>
      </c>
      <c r="BG1" s="1" t="s">
        <v>84</v>
      </c>
      <c r="BH1" s="1" t="s">
        <v>85</v>
      </c>
      <c r="BI1" s="1" t="s">
        <v>86</v>
      </c>
      <c r="BJ1" s="1" t="s">
        <v>87</v>
      </c>
      <c r="BK1" s="1" t="s">
        <v>88</v>
      </c>
      <c r="BL1" s="1" t="s">
        <v>89</v>
      </c>
      <c r="BM1" s="1" t="s">
        <v>90</v>
      </c>
      <c r="BN1" s="1" t="s">
        <v>91</v>
      </c>
      <c r="BO1" s="1" t="s">
        <v>92</v>
      </c>
      <c r="BP1" s="1" t="s">
        <v>93</v>
      </c>
      <c r="BQ1" s="1" t="s">
        <v>94</v>
      </c>
    </row>
    <row r="2" spans="1:69" x14ac:dyDescent="0.2">
      <c r="A2">
        <v>10</v>
      </c>
      <c r="B2">
        <v>35</v>
      </c>
      <c r="C2" t="s">
        <v>15</v>
      </c>
      <c r="D2" t="s">
        <v>0</v>
      </c>
      <c r="E2">
        <v>1</v>
      </c>
      <c r="F2" s="2">
        <v>410.57523809523792</v>
      </c>
      <c r="G2" s="2">
        <v>490.88259109311741</v>
      </c>
      <c r="H2" s="2">
        <v>723.31809523809545</v>
      </c>
      <c r="I2" s="2">
        <v>808.7290688259111</v>
      </c>
      <c r="J2" s="2">
        <v>1133.8933333333334</v>
      </c>
      <c r="K2" s="2">
        <v>1299.6116599190286</v>
      </c>
      <c r="L2" s="2">
        <v>80.307352997879491</v>
      </c>
      <c r="M2" s="2">
        <v>165.71832658569519</v>
      </c>
      <c r="N2" s="2">
        <v>2.1310000000000002</v>
      </c>
      <c r="O2" s="2">
        <v>32.927</v>
      </c>
      <c r="P2" s="2">
        <v>0.91919999999999991</v>
      </c>
      <c r="Q2" s="2">
        <v>17.751858407079645</v>
      </c>
      <c r="R2" s="2">
        <v>11.309580838323354</v>
      </c>
      <c r="S2" s="2">
        <v>19.1676</v>
      </c>
      <c r="T2" s="2">
        <v>80.257345132743353</v>
      </c>
      <c r="U2" s="2">
        <v>64.952894211576861</v>
      </c>
      <c r="V2" s="2">
        <v>56.175675049900221</v>
      </c>
      <c r="W2" s="2">
        <v>77.922403539823009</v>
      </c>
      <c r="X2" s="2">
        <v>20.0868</v>
      </c>
      <c r="Y2" s="2">
        <v>90.42</v>
      </c>
      <c r="Z2" s="2">
        <v>40.68</v>
      </c>
      <c r="AA2" s="2">
        <v>21.83</v>
      </c>
      <c r="AB2" s="2">
        <v>22.89</v>
      </c>
      <c r="AC2" s="2">
        <v>4.51</v>
      </c>
      <c r="AD2" s="2">
        <v>25.94</v>
      </c>
      <c r="AE2" s="2">
        <v>23.06</v>
      </c>
      <c r="AF2" s="2">
        <v>49</v>
      </c>
      <c r="AG2" s="2">
        <v>45.8</v>
      </c>
      <c r="AH2" s="2">
        <v>3.2</v>
      </c>
      <c r="AI2" s="2">
        <v>36.06</v>
      </c>
      <c r="AJ2" s="2">
        <v>5.36</v>
      </c>
      <c r="AK2" s="2">
        <v>1.484</v>
      </c>
      <c r="AL2" s="2">
        <v>1.0469999999999999</v>
      </c>
      <c r="AM2" s="2">
        <v>0.78400000000000003</v>
      </c>
      <c r="AN2" s="2">
        <v>0.70499999999999996</v>
      </c>
      <c r="AO2" s="2">
        <v>1.5529999999999999</v>
      </c>
      <c r="AP2" s="2">
        <v>0.63800000000000001</v>
      </c>
      <c r="AQ2" s="2">
        <v>1.145</v>
      </c>
      <c r="AR2" s="2">
        <v>1.833</v>
      </c>
      <c r="AS2" s="2">
        <v>28.85</v>
      </c>
      <c r="AT2" s="2">
        <v>330.9</v>
      </c>
      <c r="AU2" s="2">
        <v>1.3129999999999999</v>
      </c>
      <c r="AV2" s="2">
        <v>6.21</v>
      </c>
      <c r="AW2" s="2">
        <v>0.128</v>
      </c>
      <c r="AX2" s="2">
        <v>0.16400000000000001</v>
      </c>
      <c r="AY2" s="2">
        <v>0.70799999999999996</v>
      </c>
      <c r="AZ2" s="2">
        <v>0.6</v>
      </c>
      <c r="BA2" s="2">
        <v>1.02</v>
      </c>
      <c r="BB2" s="2">
        <v>10.5</v>
      </c>
      <c r="BC2" s="2">
        <v>89</v>
      </c>
      <c r="BD2" s="2">
        <v>1.2</v>
      </c>
      <c r="BE2" s="2">
        <v>6.1</v>
      </c>
      <c r="BF2" s="2">
        <v>29</v>
      </c>
      <c r="BG2" s="2">
        <v>70</v>
      </c>
      <c r="BH2" s="2">
        <v>1318</v>
      </c>
      <c r="BI2" s="2">
        <v>307</v>
      </c>
      <c r="BJ2" s="2">
        <v>12</v>
      </c>
      <c r="BK2" s="2">
        <v>75.5</v>
      </c>
      <c r="BL2" s="2">
        <v>5.7</v>
      </c>
      <c r="BM2" s="2">
        <v>1.8</v>
      </c>
      <c r="BN2" s="2">
        <v>0.1</v>
      </c>
      <c r="BO2" s="2">
        <v>0.18</v>
      </c>
      <c r="BP2" s="2">
        <v>6.59</v>
      </c>
      <c r="BQ2" s="2">
        <v>2.52</v>
      </c>
    </row>
    <row r="3" spans="1:69" x14ac:dyDescent="0.2">
      <c r="A3">
        <v>10</v>
      </c>
      <c r="B3">
        <v>132</v>
      </c>
      <c r="C3" t="s">
        <v>15</v>
      </c>
      <c r="D3" t="s">
        <v>3</v>
      </c>
      <c r="E3">
        <v>3</v>
      </c>
      <c r="F3" s="2">
        <v>222.65513004835958</v>
      </c>
      <c r="G3" s="2">
        <v>251.1885292567211</v>
      </c>
      <c r="H3" s="2">
        <v>610.12259835315626</v>
      </c>
      <c r="I3" s="2">
        <v>380.2981549815496</v>
      </c>
      <c r="J3" s="2">
        <v>832.77772840151579</v>
      </c>
      <c r="K3" s="2">
        <v>631.48668423827075</v>
      </c>
      <c r="L3" s="2">
        <v>28.533399208361516</v>
      </c>
      <c r="M3" s="2">
        <v>-201.29104416324503</v>
      </c>
      <c r="N3" s="2">
        <v>1.1288</v>
      </c>
      <c r="O3" s="2">
        <v>12.999000000000001</v>
      </c>
      <c r="P3" s="2">
        <v>0.5202</v>
      </c>
      <c r="Q3" s="2">
        <v>5.7675159235668785</v>
      </c>
      <c r="R3" s="2">
        <v>1.5905999999999998</v>
      </c>
      <c r="S3" s="2">
        <v>18.796199999999999</v>
      </c>
      <c r="T3" s="2">
        <v>46.92696390658174</v>
      </c>
      <c r="U3" s="2">
        <v>99.332000000000008</v>
      </c>
      <c r="V3" s="2">
        <v>81.606200000000001</v>
      </c>
      <c r="W3" s="2">
        <v>33.378079830148621</v>
      </c>
      <c r="X3" s="2">
        <v>19.316399999999998</v>
      </c>
      <c r="Y3" s="2">
        <v>106.03</v>
      </c>
      <c r="Z3" s="2">
        <v>28.06</v>
      </c>
      <c r="AA3" s="2">
        <v>22.95</v>
      </c>
      <c r="AB3" s="2">
        <v>45.21</v>
      </c>
      <c r="AC3" s="2">
        <v>9.3800000000000008</v>
      </c>
      <c r="AD3" s="2">
        <v>17.93</v>
      </c>
      <c r="AE3" s="2">
        <v>23.62</v>
      </c>
      <c r="AF3" s="2">
        <v>41.6</v>
      </c>
      <c r="AG3" s="2">
        <v>53.7</v>
      </c>
      <c r="AH3" s="2">
        <v>-12.1</v>
      </c>
      <c r="AI3" s="2">
        <v>55.95</v>
      </c>
      <c r="AJ3" s="2">
        <v>8.5299999999999994</v>
      </c>
      <c r="AK3" s="2">
        <v>0.96299999999999997</v>
      </c>
      <c r="AL3" s="2">
        <v>0.70799999999999996</v>
      </c>
      <c r="AM3" s="2">
        <v>0.81499999999999995</v>
      </c>
      <c r="AN3" s="2">
        <v>0.73499999999999999</v>
      </c>
      <c r="AO3" s="2">
        <v>0.68200000000000005</v>
      </c>
      <c r="AP3" s="2">
        <v>0.63900000000000001</v>
      </c>
      <c r="AQ3" s="2">
        <v>1.3420000000000001</v>
      </c>
      <c r="AR3" s="2">
        <v>0.89400000000000002</v>
      </c>
      <c r="AS3" s="2">
        <v>10.83</v>
      </c>
      <c r="AT3" s="2">
        <v>149.4</v>
      </c>
      <c r="AU3" s="2">
        <v>1.506</v>
      </c>
      <c r="AV3" s="2">
        <v>1.47</v>
      </c>
      <c r="AW3" s="2">
        <v>0.08</v>
      </c>
      <c r="AX3" s="2">
        <v>0.19600000000000001</v>
      </c>
      <c r="AY3" s="2">
        <v>0.72399999999999998</v>
      </c>
      <c r="AZ3" s="2">
        <v>0.32</v>
      </c>
      <c r="BA3" s="2">
        <v>1.1499999999999999</v>
      </c>
      <c r="BB3" s="2">
        <v>3.7</v>
      </c>
      <c r="BC3" s="2">
        <v>66</v>
      </c>
      <c r="BD3" s="2">
        <v>1.3</v>
      </c>
      <c r="BE3" s="2">
        <v>5.3</v>
      </c>
      <c r="BF3" s="2">
        <v>146</v>
      </c>
      <c r="BG3" s="2">
        <v>49</v>
      </c>
      <c r="BH3" s="2">
        <v>319</v>
      </c>
      <c r="BI3" s="2">
        <v>89</v>
      </c>
      <c r="BJ3" s="2">
        <v>13</v>
      </c>
      <c r="BK3" s="2">
        <v>12.1</v>
      </c>
      <c r="BL3" s="2">
        <v>1.7</v>
      </c>
      <c r="BM3" s="2">
        <v>0.4</v>
      </c>
      <c r="BN3" s="2">
        <v>0</v>
      </c>
      <c r="BO3" s="2">
        <v>0.13</v>
      </c>
      <c r="BP3" s="2">
        <v>1.6</v>
      </c>
      <c r="BQ3" s="2">
        <v>0.73</v>
      </c>
    </row>
    <row r="4" spans="1:69" x14ac:dyDescent="0.2">
      <c r="A4">
        <v>10</v>
      </c>
      <c r="B4">
        <v>135</v>
      </c>
      <c r="C4" t="s">
        <v>15</v>
      </c>
      <c r="D4" t="s">
        <v>3</v>
      </c>
      <c r="E4">
        <v>4</v>
      </c>
      <c r="F4" s="2">
        <v>151.92756669361341</v>
      </c>
      <c r="G4" s="2">
        <v>265.89473684210509</v>
      </c>
      <c r="H4" s="2">
        <v>312.43168957154415</v>
      </c>
      <c r="I4" s="2">
        <v>574.99736842105267</v>
      </c>
      <c r="J4" s="2">
        <v>464.35925626515757</v>
      </c>
      <c r="K4" s="2">
        <v>840.89210526315776</v>
      </c>
      <c r="L4" s="2">
        <v>113.96717014849168</v>
      </c>
      <c r="M4" s="2">
        <v>376.53284899800019</v>
      </c>
      <c r="N4" s="2">
        <v>1.008</v>
      </c>
      <c r="O4" s="2">
        <v>12.753</v>
      </c>
      <c r="P4" s="2">
        <v>0.62539999999999996</v>
      </c>
      <c r="Q4" s="2">
        <v>6.0666000000000002</v>
      </c>
      <c r="R4" s="2">
        <v>14.301098901098902</v>
      </c>
      <c r="S4" s="2">
        <v>14.4292</v>
      </c>
      <c r="T4" s="2">
        <v>26.537599999999998</v>
      </c>
      <c r="U4" s="2">
        <v>26.578221778221778</v>
      </c>
      <c r="V4" s="2">
        <v>25.824720679320677</v>
      </c>
      <c r="W4" s="2">
        <v>17.549599999999998</v>
      </c>
      <c r="X4" s="2">
        <v>15.054600000000001</v>
      </c>
      <c r="Y4" s="2">
        <v>106.79</v>
      </c>
      <c r="Z4" s="2">
        <v>25.25</v>
      </c>
      <c r="AA4" s="2">
        <v>26.4</v>
      </c>
      <c r="AB4" s="2">
        <v>47.05</v>
      </c>
      <c r="AC4" s="2">
        <v>7.63</v>
      </c>
      <c r="AD4" s="2">
        <v>20.3</v>
      </c>
      <c r="AE4" s="2">
        <v>34.65</v>
      </c>
      <c r="AF4" s="2">
        <v>55</v>
      </c>
      <c r="AG4" s="2">
        <v>54.1</v>
      </c>
      <c r="AH4" s="2">
        <v>0.9</v>
      </c>
      <c r="AI4" s="2">
        <v>44.51</v>
      </c>
      <c r="AJ4" s="2">
        <v>7.33</v>
      </c>
      <c r="AK4" s="2">
        <v>0.90300000000000002</v>
      </c>
      <c r="AL4" s="2">
        <v>0.81499999999999995</v>
      </c>
      <c r="AM4" s="2">
        <v>1.0640000000000001</v>
      </c>
      <c r="AN4" s="2">
        <v>0.90200000000000002</v>
      </c>
      <c r="AO4" s="2">
        <v>0.73599999999999999</v>
      </c>
      <c r="AP4" s="2">
        <v>0.80400000000000005</v>
      </c>
      <c r="AQ4" s="2">
        <v>1.3520000000000001</v>
      </c>
      <c r="AR4" s="2">
        <v>0.95099999999999996</v>
      </c>
      <c r="AS4" s="2">
        <v>11.28</v>
      </c>
      <c r="AT4" s="2">
        <v>174</v>
      </c>
      <c r="AU4" s="2">
        <v>1.4430000000000001</v>
      </c>
      <c r="AV4" s="2">
        <v>3.33</v>
      </c>
      <c r="AW4" s="2">
        <v>7.0000000000000007E-2</v>
      </c>
      <c r="AX4" s="2">
        <v>0.16500000000000001</v>
      </c>
      <c r="AY4" s="2">
        <v>0.76600000000000001</v>
      </c>
      <c r="AZ4" s="2">
        <v>0.41</v>
      </c>
      <c r="BA4" s="2">
        <v>1.19</v>
      </c>
      <c r="BB4" s="2">
        <v>3.6</v>
      </c>
      <c r="BC4" s="2">
        <v>72</v>
      </c>
      <c r="BD4" s="2">
        <v>1</v>
      </c>
      <c r="BE4" s="2">
        <v>5.6</v>
      </c>
      <c r="BF4" s="2">
        <v>99</v>
      </c>
      <c r="BG4" s="2">
        <v>70</v>
      </c>
      <c r="BH4" s="2">
        <v>323</v>
      </c>
      <c r="BI4" s="2">
        <v>99</v>
      </c>
      <c r="BJ4" s="2">
        <v>13</v>
      </c>
      <c r="BK4" s="2">
        <v>32.5</v>
      </c>
      <c r="BL4" s="2">
        <v>2</v>
      </c>
      <c r="BM4" s="2">
        <v>0.5</v>
      </c>
      <c r="BN4" s="2">
        <v>0</v>
      </c>
      <c r="BO4" s="2">
        <v>0.18</v>
      </c>
      <c r="BP4" s="2">
        <v>1.62</v>
      </c>
      <c r="BQ4" s="2">
        <v>0.81</v>
      </c>
    </row>
    <row r="5" spans="1:69" x14ac:dyDescent="0.2">
      <c r="A5">
        <v>10</v>
      </c>
      <c r="B5">
        <v>152</v>
      </c>
      <c r="C5" t="s">
        <v>15</v>
      </c>
      <c r="D5" t="s">
        <v>0</v>
      </c>
      <c r="E5">
        <v>2</v>
      </c>
      <c r="F5" s="2">
        <v>316.2369158143191</v>
      </c>
      <c r="G5" s="2">
        <v>360.92653846153814</v>
      </c>
      <c r="H5" s="2">
        <v>598.60833988985041</v>
      </c>
      <c r="I5" s="2">
        <v>709.22307692307686</v>
      </c>
      <c r="J5" s="2">
        <v>914.84525570416952</v>
      </c>
      <c r="K5" s="2">
        <v>1070.1496153846151</v>
      </c>
      <c r="L5" s="2">
        <v>44.689622647219039</v>
      </c>
      <c r="M5" s="2">
        <v>155.3043596804456</v>
      </c>
      <c r="N5" s="2">
        <v>1.6388</v>
      </c>
      <c r="O5" s="2">
        <v>18.613</v>
      </c>
      <c r="P5" s="2">
        <v>0.68399999999999994</v>
      </c>
      <c r="Q5" s="2">
        <v>7.7081927710843372</v>
      </c>
      <c r="R5" s="2">
        <v>9.4700598802395231</v>
      </c>
      <c r="S5" s="2">
        <v>16.216200000000001</v>
      </c>
      <c r="T5" s="2">
        <v>54.917590361445782</v>
      </c>
      <c r="U5" s="2">
        <v>60.403193612774452</v>
      </c>
      <c r="V5" s="2">
        <v>52.973053493013978</v>
      </c>
      <c r="W5" s="2">
        <v>45.725583132530119</v>
      </c>
      <c r="X5" s="2">
        <v>16.900200000000002</v>
      </c>
      <c r="Y5" s="2">
        <v>95.23</v>
      </c>
      <c r="Z5" s="2">
        <v>43.57</v>
      </c>
      <c r="AA5" s="2">
        <v>20.66</v>
      </c>
      <c r="AB5" s="2">
        <v>26.38</v>
      </c>
      <c r="AC5" s="2">
        <v>4.33</v>
      </c>
      <c r="AD5" s="2">
        <v>28.75</v>
      </c>
      <c r="AE5" s="2">
        <v>18.63</v>
      </c>
      <c r="AF5" s="2">
        <v>47.4</v>
      </c>
      <c r="AG5" s="2">
        <v>48.2</v>
      </c>
      <c r="AH5" s="2">
        <v>-0.8</v>
      </c>
      <c r="AI5" s="2">
        <v>42.1</v>
      </c>
      <c r="AJ5" s="2">
        <v>5.75</v>
      </c>
      <c r="AK5" s="2">
        <v>1.494</v>
      </c>
      <c r="AL5" s="2">
        <v>1.0589999999999999</v>
      </c>
      <c r="AM5" s="2">
        <v>0.73799999999999999</v>
      </c>
      <c r="AN5" s="2">
        <v>0.70899999999999996</v>
      </c>
      <c r="AO5" s="2">
        <v>1.583</v>
      </c>
      <c r="AP5" s="2">
        <v>0.66</v>
      </c>
      <c r="AQ5" s="2">
        <v>1.2050000000000001</v>
      </c>
      <c r="AR5" s="2">
        <v>1.2969999999999999</v>
      </c>
      <c r="AS5" s="2">
        <v>15.25</v>
      </c>
      <c r="AT5" s="2">
        <v>277.5</v>
      </c>
      <c r="AU5" s="2">
        <v>1.401</v>
      </c>
      <c r="AV5" s="2">
        <v>12.07</v>
      </c>
      <c r="AW5" s="2">
        <v>0.16</v>
      </c>
      <c r="AX5" s="2">
        <v>0.17599999999999999</v>
      </c>
      <c r="AY5" s="2">
        <v>0.66400000000000003</v>
      </c>
      <c r="AZ5" s="2">
        <v>0.22</v>
      </c>
      <c r="BA5" s="2">
        <v>1.01</v>
      </c>
      <c r="BB5" s="2">
        <v>7.1</v>
      </c>
      <c r="BC5" s="2">
        <v>83</v>
      </c>
      <c r="BD5" s="2">
        <v>1.2</v>
      </c>
      <c r="BE5" s="2">
        <v>5.7</v>
      </c>
      <c r="BF5" s="2">
        <v>37</v>
      </c>
      <c r="BG5" s="2">
        <v>65</v>
      </c>
      <c r="BH5" s="2">
        <v>749</v>
      </c>
      <c r="BI5" s="2">
        <v>244</v>
      </c>
      <c r="BJ5" s="2">
        <v>12</v>
      </c>
      <c r="BK5" s="2">
        <v>35.6</v>
      </c>
      <c r="BL5" s="2">
        <v>3.7</v>
      </c>
      <c r="BM5" s="2">
        <v>0.7</v>
      </c>
      <c r="BN5" s="2">
        <v>0.1</v>
      </c>
      <c r="BO5" s="2">
        <v>0.17</v>
      </c>
      <c r="BP5" s="2">
        <v>3.75</v>
      </c>
      <c r="BQ5" s="2">
        <v>2.0099999999999998</v>
      </c>
    </row>
    <row r="6" spans="1:69" x14ac:dyDescent="0.2">
      <c r="A6">
        <v>20</v>
      </c>
      <c r="B6">
        <v>153</v>
      </c>
      <c r="C6" t="s">
        <v>15</v>
      </c>
      <c r="D6" t="s">
        <v>5</v>
      </c>
      <c r="E6">
        <v>4</v>
      </c>
      <c r="F6" s="2">
        <v>240.41878172588829</v>
      </c>
      <c r="G6" s="2">
        <v>242.86678899082574</v>
      </c>
      <c r="H6" s="2">
        <v>746.25989847715732</v>
      </c>
      <c r="I6" s="2">
        <v>1047.4788990825684</v>
      </c>
      <c r="J6" s="2">
        <v>986.67868020304559</v>
      </c>
      <c r="K6" s="2">
        <v>1290.3456880733943</v>
      </c>
      <c r="L6" s="2">
        <v>2.4480072649374449</v>
      </c>
      <c r="M6" s="2">
        <v>303.6670078703487</v>
      </c>
      <c r="N6" s="2">
        <v>2.7078999999999995</v>
      </c>
      <c r="O6" s="2">
        <v>48.109000000000002</v>
      </c>
      <c r="P6" s="2">
        <v>1.044</v>
      </c>
      <c r="Q6" s="2">
        <v>2.9401999999999999</v>
      </c>
      <c r="R6" s="2">
        <v>0.115</v>
      </c>
      <c r="S6" s="2">
        <v>36.297199999999997</v>
      </c>
      <c r="T6" s="2">
        <v>118.7854</v>
      </c>
      <c r="U6" s="2">
        <v>60.027799999999999</v>
      </c>
      <c r="V6" s="2">
        <v>22.801600000000008</v>
      </c>
      <c r="W6" s="2">
        <v>84.384399999999999</v>
      </c>
      <c r="X6" s="2">
        <v>37.341199999999994</v>
      </c>
      <c r="Y6" s="2">
        <v>73.77</v>
      </c>
      <c r="Z6" s="2">
        <v>38.74</v>
      </c>
      <c r="AA6" s="2">
        <v>15.46</v>
      </c>
      <c r="AB6" s="2">
        <v>13.28</v>
      </c>
      <c r="AC6" s="2">
        <v>5.73</v>
      </c>
      <c r="AD6" s="2">
        <v>27.42</v>
      </c>
      <c r="AE6" s="2">
        <v>18.75</v>
      </c>
      <c r="AF6" s="2">
        <v>46.2</v>
      </c>
      <c r="AG6" s="2">
        <v>37.4</v>
      </c>
      <c r="AH6" s="2">
        <v>8.8000000000000007</v>
      </c>
      <c r="AI6" s="2">
        <v>19.329999999999998</v>
      </c>
      <c r="AJ6" s="2">
        <v>8.27</v>
      </c>
      <c r="AK6" s="2">
        <v>1.67</v>
      </c>
      <c r="AL6" s="2">
        <v>1.27</v>
      </c>
      <c r="AM6" s="2">
        <v>0.85199999999999998</v>
      </c>
      <c r="AN6" s="2">
        <v>0.76100000000000001</v>
      </c>
      <c r="AO6" s="2">
        <v>2.1219999999999999</v>
      </c>
      <c r="AP6" s="2">
        <v>0.70799999999999996</v>
      </c>
      <c r="AQ6" s="2">
        <v>0.93400000000000005</v>
      </c>
      <c r="AR6" s="2">
        <v>1.83</v>
      </c>
      <c r="AS6" s="2">
        <v>36.159999999999997</v>
      </c>
      <c r="AT6" s="2">
        <v>344.7</v>
      </c>
      <c r="AU6" s="2">
        <v>0.95099999999999996</v>
      </c>
      <c r="AV6" s="2">
        <v>10.97</v>
      </c>
      <c r="AW6" s="2">
        <v>0.22900000000000001</v>
      </c>
      <c r="AX6" s="2">
        <v>0.42099999999999999</v>
      </c>
      <c r="AY6" s="2">
        <v>0.35</v>
      </c>
      <c r="AZ6" s="2">
        <v>0.66</v>
      </c>
      <c r="BA6" s="2">
        <v>0.8</v>
      </c>
      <c r="BB6" s="2">
        <v>4.5999999999999996</v>
      </c>
      <c r="BC6" s="2">
        <v>32</v>
      </c>
      <c r="BD6" s="2">
        <v>3.1</v>
      </c>
      <c r="BE6" s="2">
        <v>4.5</v>
      </c>
      <c r="BF6" s="2">
        <v>12</v>
      </c>
      <c r="BG6" s="2">
        <v>74</v>
      </c>
      <c r="BH6" s="2">
        <v>148</v>
      </c>
      <c r="BI6" s="2">
        <v>66</v>
      </c>
      <c r="BJ6" s="2">
        <v>21</v>
      </c>
      <c r="BK6" s="2">
        <v>45.4</v>
      </c>
      <c r="BL6" s="2">
        <v>1.7</v>
      </c>
      <c r="BM6" s="2">
        <v>0.9</v>
      </c>
      <c r="BN6" s="2">
        <v>0</v>
      </c>
      <c r="BO6" s="2">
        <v>0.19</v>
      </c>
      <c r="BP6" s="2">
        <v>0.74</v>
      </c>
      <c r="BQ6" s="2">
        <v>0.54</v>
      </c>
    </row>
    <row r="7" spans="1:69" x14ac:dyDescent="0.2">
      <c r="A7">
        <v>10</v>
      </c>
      <c r="B7">
        <v>198</v>
      </c>
      <c r="C7" t="s">
        <v>15</v>
      </c>
      <c r="D7" t="s">
        <v>3</v>
      </c>
      <c r="E7">
        <v>1</v>
      </c>
      <c r="F7" s="2">
        <v>180.64727272727268</v>
      </c>
      <c r="G7" s="2">
        <v>177.54632587859388</v>
      </c>
      <c r="H7" s="2">
        <v>384.25818181818209</v>
      </c>
      <c r="I7" s="2">
        <v>485.83130990415356</v>
      </c>
      <c r="J7" s="2">
        <v>564.90545454545475</v>
      </c>
      <c r="K7" s="2">
        <v>663.37763578274746</v>
      </c>
      <c r="L7" s="2">
        <v>-3.1009468486788023</v>
      </c>
      <c r="M7" s="2">
        <v>98.472181237292716</v>
      </c>
      <c r="N7" s="2">
        <v>1.4617</v>
      </c>
      <c r="O7" s="2">
        <v>15.991</v>
      </c>
      <c r="P7" s="2">
        <v>0.61719999999999997</v>
      </c>
      <c r="Q7" s="2">
        <v>6.1225080385852095</v>
      </c>
      <c r="R7" s="2">
        <v>3.1985294117647065</v>
      </c>
      <c r="S7" s="2">
        <v>22.2882</v>
      </c>
      <c r="T7" s="2">
        <v>62.437942122186506</v>
      </c>
      <c r="U7" s="2">
        <v>52.612352941176468</v>
      </c>
      <c r="V7" s="2">
        <v>32.905482352941178</v>
      </c>
      <c r="W7" s="2">
        <v>45.655050160771722</v>
      </c>
      <c r="X7" s="2">
        <v>22.9054</v>
      </c>
      <c r="Y7" s="2">
        <v>88.26</v>
      </c>
      <c r="Z7" s="2">
        <v>54.35</v>
      </c>
      <c r="AA7" s="2">
        <v>17.37</v>
      </c>
      <c r="AB7" s="2">
        <v>10.48</v>
      </c>
      <c r="AC7" s="2">
        <v>5.65</v>
      </c>
      <c r="AD7" s="2">
        <v>27.83</v>
      </c>
      <c r="AE7" s="2">
        <v>19.61</v>
      </c>
      <c r="AF7" s="2">
        <v>47.4</v>
      </c>
      <c r="AG7" s="2">
        <v>44.7</v>
      </c>
      <c r="AH7" s="2">
        <v>2.8</v>
      </c>
      <c r="AI7" s="2">
        <v>31.85</v>
      </c>
      <c r="AJ7" s="2">
        <v>8.9700000000000006</v>
      </c>
      <c r="AK7" s="2">
        <v>1.913</v>
      </c>
      <c r="AL7" s="2">
        <v>1.103</v>
      </c>
      <c r="AM7" s="2">
        <v>0.66100000000000003</v>
      </c>
      <c r="AN7" s="2">
        <v>0.57699999999999996</v>
      </c>
      <c r="AO7" s="2">
        <v>2.11</v>
      </c>
      <c r="AP7" s="2">
        <v>0.51200000000000001</v>
      </c>
      <c r="AQ7" s="2">
        <v>1.117</v>
      </c>
      <c r="AR7" s="2">
        <v>1.1539999999999999</v>
      </c>
      <c r="AS7" s="2">
        <v>12.84</v>
      </c>
      <c r="AT7" s="2">
        <v>211.1</v>
      </c>
      <c r="AU7" s="2">
        <v>1.375</v>
      </c>
      <c r="AV7" s="2">
        <v>11.62</v>
      </c>
      <c r="AW7" s="2">
        <v>0.21099999999999999</v>
      </c>
      <c r="AX7" s="2">
        <v>0.41699999999999998</v>
      </c>
      <c r="AY7" s="2">
        <v>0.372</v>
      </c>
      <c r="AZ7" s="2">
        <v>0.36</v>
      </c>
      <c r="BA7" s="2">
        <v>0.93</v>
      </c>
      <c r="BB7" s="2">
        <v>4.5</v>
      </c>
      <c r="BC7" s="2">
        <v>65</v>
      </c>
      <c r="BD7" s="2">
        <v>1.6</v>
      </c>
      <c r="BE7" s="2">
        <v>5.3</v>
      </c>
      <c r="BF7" s="2">
        <v>86</v>
      </c>
      <c r="BG7" s="2">
        <v>88</v>
      </c>
      <c r="BH7" s="2">
        <v>355</v>
      </c>
      <c r="BI7" s="2">
        <v>112</v>
      </c>
      <c r="BJ7" s="2">
        <v>19</v>
      </c>
      <c r="BK7" s="2">
        <v>155.19999999999999</v>
      </c>
      <c r="BL7" s="2">
        <v>3.4</v>
      </c>
      <c r="BM7" s="2">
        <v>1</v>
      </c>
      <c r="BN7" s="2">
        <v>0</v>
      </c>
      <c r="BO7" s="2">
        <v>0.23</v>
      </c>
      <c r="BP7" s="2">
        <v>1.78</v>
      </c>
      <c r="BQ7" s="2">
        <v>0.92</v>
      </c>
    </row>
    <row r="8" spans="1:69" x14ac:dyDescent="0.2">
      <c r="A8">
        <v>10</v>
      </c>
      <c r="B8">
        <v>240</v>
      </c>
      <c r="C8" t="s">
        <v>15</v>
      </c>
      <c r="D8" t="s">
        <v>5</v>
      </c>
      <c r="E8">
        <v>3</v>
      </c>
      <c r="F8" s="2">
        <v>131.76617731172482</v>
      </c>
      <c r="G8" s="2">
        <v>53.898599527930124</v>
      </c>
      <c r="H8" s="2">
        <v>632.82440419447073</v>
      </c>
      <c r="I8" s="2">
        <v>679.69472856018876</v>
      </c>
      <c r="J8" s="2">
        <v>764.59058150619558</v>
      </c>
      <c r="K8" s="2">
        <v>733.59332808811894</v>
      </c>
      <c r="L8" s="2">
        <v>-77.867577783794701</v>
      </c>
      <c r="M8" s="2">
        <v>-30.997253418076639</v>
      </c>
      <c r="N8" s="2">
        <v>1.3856999999999999</v>
      </c>
      <c r="O8" s="2">
        <v>29.508000000000003</v>
      </c>
      <c r="P8" s="2">
        <v>0.54479999999999995</v>
      </c>
      <c r="Q8" s="2">
        <v>1.540285714285714</v>
      </c>
      <c r="R8" s="2">
        <v>1.0029940119760479</v>
      </c>
      <c r="S8" s="2">
        <v>14.321199999999999</v>
      </c>
      <c r="T8" s="2">
        <v>30.844571428571431</v>
      </c>
      <c r="U8" s="2">
        <v>29.913373253493017</v>
      </c>
      <c r="V8" s="2">
        <v>16.050367265469063</v>
      </c>
      <c r="W8" s="2">
        <v>17.518857142857144</v>
      </c>
      <c r="X8" s="2">
        <v>14.866</v>
      </c>
      <c r="Y8" s="2">
        <v>99.45</v>
      </c>
      <c r="Z8" s="2">
        <v>31.46</v>
      </c>
      <c r="AA8" s="2">
        <v>20.260000000000002</v>
      </c>
      <c r="AB8" s="2">
        <v>36.85</v>
      </c>
      <c r="AC8" s="2">
        <v>5.41</v>
      </c>
      <c r="AD8" s="2">
        <v>26.61</v>
      </c>
      <c r="AE8" s="2">
        <v>20.71</v>
      </c>
      <c r="AF8" s="2">
        <v>47.3</v>
      </c>
      <c r="AG8" s="2">
        <v>50.4</v>
      </c>
      <c r="AH8" s="2">
        <v>-3</v>
      </c>
      <c r="AI8" s="2">
        <v>40.450000000000003</v>
      </c>
      <c r="AJ8" s="2">
        <v>11.68</v>
      </c>
      <c r="AK8" s="2">
        <v>1.095</v>
      </c>
      <c r="AL8" s="2">
        <v>0.96399999999999997</v>
      </c>
      <c r="AM8" s="2">
        <v>0.91500000000000004</v>
      </c>
      <c r="AN8" s="2">
        <v>0.88100000000000001</v>
      </c>
      <c r="AO8" s="2">
        <v>1.056</v>
      </c>
      <c r="AP8" s="2">
        <v>0.84599999999999997</v>
      </c>
      <c r="AQ8" s="2">
        <v>1.2589999999999999</v>
      </c>
      <c r="AR8" s="2">
        <v>1.024</v>
      </c>
      <c r="AS8" s="2">
        <v>23.57</v>
      </c>
      <c r="AT8" s="2">
        <v>204.1</v>
      </c>
      <c r="AU8" s="2">
        <v>1.171</v>
      </c>
      <c r="AV8" s="2">
        <v>12.23</v>
      </c>
      <c r="AW8" s="2">
        <v>8.6999999999999994E-2</v>
      </c>
      <c r="AX8" s="2">
        <v>0.16800000000000001</v>
      </c>
      <c r="AY8" s="2">
        <v>0.74399999999999999</v>
      </c>
      <c r="AZ8" s="2">
        <v>0.51</v>
      </c>
      <c r="BA8" s="2">
        <v>1.01</v>
      </c>
      <c r="BB8" s="2">
        <v>5</v>
      </c>
      <c r="BC8" s="2">
        <v>38</v>
      </c>
      <c r="BD8" s="2">
        <v>3.1</v>
      </c>
      <c r="BE8" s="2">
        <v>4.3</v>
      </c>
      <c r="BF8" s="2">
        <v>14</v>
      </c>
      <c r="BG8" s="2">
        <v>40</v>
      </c>
      <c r="BH8" s="2">
        <v>265</v>
      </c>
      <c r="BI8" s="2">
        <v>57</v>
      </c>
      <c r="BJ8" s="2">
        <v>13</v>
      </c>
      <c r="BK8" s="2">
        <v>13.1</v>
      </c>
      <c r="BL8" s="2">
        <v>1.2</v>
      </c>
      <c r="BM8" s="2">
        <v>0.8</v>
      </c>
      <c r="BN8" s="2">
        <v>0</v>
      </c>
      <c r="BO8" s="2">
        <v>0.1</v>
      </c>
      <c r="BP8" s="2">
        <v>1.33</v>
      </c>
      <c r="BQ8" s="2">
        <v>0.47</v>
      </c>
    </row>
    <row r="9" spans="1:69" x14ac:dyDescent="0.2">
      <c r="A9">
        <v>20</v>
      </c>
      <c r="B9">
        <v>247</v>
      </c>
      <c r="C9" t="s">
        <v>15</v>
      </c>
      <c r="D9" t="s">
        <v>0</v>
      </c>
      <c r="E9">
        <v>3</v>
      </c>
      <c r="F9" s="2">
        <v>386.67800586510253</v>
      </c>
      <c r="G9" s="2">
        <v>326.17493517718236</v>
      </c>
      <c r="H9" s="2">
        <v>834.09853372434009</v>
      </c>
      <c r="I9" s="2">
        <v>783.34382022471891</v>
      </c>
      <c r="J9" s="2">
        <v>1220.7765395894426</v>
      </c>
      <c r="K9" s="2">
        <v>1109.5187554019012</v>
      </c>
      <c r="L9" s="2">
        <v>-60.503070687920172</v>
      </c>
      <c r="M9" s="2">
        <v>-111.25778418754135</v>
      </c>
      <c r="N9" s="2">
        <v>1.8904000000000001</v>
      </c>
      <c r="O9" s="2">
        <v>19.935000000000002</v>
      </c>
      <c r="P9" s="2">
        <v>0.51603650586701433</v>
      </c>
      <c r="Q9" s="2">
        <v>19.473800000000004</v>
      </c>
      <c r="R9" s="2">
        <v>24.545000000000002</v>
      </c>
      <c r="S9" s="2">
        <v>20.869100391134289</v>
      </c>
      <c r="T9" s="2">
        <v>93.627399999999994</v>
      </c>
      <c r="U9" s="2">
        <v>45.632199999999997</v>
      </c>
      <c r="V9" s="2">
        <v>48.792063102998696</v>
      </c>
      <c r="W9" s="2">
        <v>91.716063102998703</v>
      </c>
      <c r="X9" s="2">
        <v>21.385136897001303</v>
      </c>
      <c r="Y9" s="2">
        <v>90.17</v>
      </c>
      <c r="Z9" s="2">
        <v>52.85</v>
      </c>
      <c r="AA9" s="2">
        <v>15.71</v>
      </c>
      <c r="AB9" s="2">
        <v>18.41</v>
      </c>
      <c r="AC9" s="2">
        <v>2.9</v>
      </c>
      <c r="AD9" s="2">
        <v>33.57</v>
      </c>
      <c r="AE9" s="2">
        <v>19.02</v>
      </c>
      <c r="AF9" s="2">
        <v>52.6</v>
      </c>
      <c r="AG9" s="2">
        <v>45.7</v>
      </c>
      <c r="AH9" s="2">
        <v>6.9</v>
      </c>
      <c r="AI9" s="2">
        <v>32.69</v>
      </c>
      <c r="AJ9" s="2">
        <v>4.8899999999999997</v>
      </c>
      <c r="AK9" s="2">
        <v>1.8260000000000001</v>
      </c>
      <c r="AL9" s="2">
        <v>1.2589999999999999</v>
      </c>
      <c r="AM9" s="2">
        <v>0.76700000000000002</v>
      </c>
      <c r="AN9" s="2">
        <v>0.68899999999999995</v>
      </c>
      <c r="AO9" s="2">
        <v>2.2989999999999999</v>
      </c>
      <c r="AP9" s="2">
        <v>0.63500000000000001</v>
      </c>
      <c r="AQ9" s="2">
        <v>1.141</v>
      </c>
      <c r="AR9" s="2">
        <v>1.524</v>
      </c>
      <c r="AS9" s="2">
        <v>16.86</v>
      </c>
      <c r="AT9" s="2">
        <v>298.89999999999998</v>
      </c>
      <c r="AU9" s="2">
        <v>1.401</v>
      </c>
      <c r="AV9" s="2">
        <v>3.35</v>
      </c>
      <c r="AW9" s="2">
        <v>0.185</v>
      </c>
      <c r="AX9" s="2">
        <v>0.18099999999999999</v>
      </c>
      <c r="AY9" s="2">
        <v>0.63300000000000001</v>
      </c>
      <c r="AZ9" s="2">
        <v>0.32</v>
      </c>
      <c r="BA9" s="2">
        <v>0.92</v>
      </c>
      <c r="BB9" s="2">
        <v>8.1</v>
      </c>
      <c r="BC9" s="2">
        <v>83</v>
      </c>
      <c r="BD9" s="2">
        <v>1.4</v>
      </c>
      <c r="BE9" s="2">
        <v>5.5</v>
      </c>
      <c r="BF9" s="2">
        <v>35</v>
      </c>
      <c r="BG9" s="2">
        <v>64</v>
      </c>
      <c r="BH9" s="2">
        <v>823</v>
      </c>
      <c r="BI9" s="2">
        <v>295</v>
      </c>
      <c r="BJ9" s="2">
        <v>13</v>
      </c>
      <c r="BK9" s="2">
        <v>10.9</v>
      </c>
      <c r="BL9" s="2">
        <v>4.4000000000000004</v>
      </c>
      <c r="BM9" s="2">
        <v>0.9</v>
      </c>
      <c r="BN9" s="2">
        <v>0.1</v>
      </c>
      <c r="BO9" s="2">
        <v>0.16</v>
      </c>
      <c r="BP9" s="2">
        <v>4.12</v>
      </c>
      <c r="BQ9" s="2">
        <v>2.4300000000000002</v>
      </c>
    </row>
    <row r="10" spans="1:69" x14ac:dyDescent="0.2">
      <c r="A10">
        <v>10</v>
      </c>
      <c r="B10">
        <v>248</v>
      </c>
      <c r="C10" t="s">
        <v>15</v>
      </c>
      <c r="D10" t="s">
        <v>0</v>
      </c>
      <c r="E10">
        <v>4</v>
      </c>
      <c r="F10" s="2">
        <v>377.77566765578632</v>
      </c>
      <c r="G10" s="2">
        <v>453.75866261398147</v>
      </c>
      <c r="H10" s="2">
        <v>610.1376854599406</v>
      </c>
      <c r="I10" s="2">
        <v>708.27811550151978</v>
      </c>
      <c r="J10" s="2">
        <v>987.91335311572698</v>
      </c>
      <c r="K10" s="2">
        <v>1162.0367781155012</v>
      </c>
      <c r="L10" s="2">
        <v>75.98299495819515</v>
      </c>
      <c r="M10" s="2">
        <v>174.12342499977422</v>
      </c>
      <c r="N10" s="2">
        <v>1.6497999999999999</v>
      </c>
      <c r="O10" s="2">
        <v>19.837</v>
      </c>
      <c r="P10" s="2">
        <v>0.51680000000000004</v>
      </c>
      <c r="Q10" s="2">
        <v>7.5997581620314394</v>
      </c>
      <c r="R10" s="2">
        <v>6.1901999999999999</v>
      </c>
      <c r="S10" s="2">
        <v>15.0564</v>
      </c>
      <c r="T10" s="2">
        <v>46.912696493349458</v>
      </c>
      <c r="U10" s="2">
        <v>51.894799999999996</v>
      </c>
      <c r="V10" s="2">
        <v>42.511799999999994</v>
      </c>
      <c r="W10" s="2">
        <v>38.9392546553809</v>
      </c>
      <c r="X10" s="2">
        <v>15.5732</v>
      </c>
      <c r="Y10" s="2">
        <v>98.25</v>
      </c>
      <c r="Z10" s="2">
        <v>21.61</v>
      </c>
      <c r="AA10" s="2">
        <v>26.7</v>
      </c>
      <c r="AB10" s="2">
        <v>40.28</v>
      </c>
      <c r="AC10" s="2">
        <v>9.01</v>
      </c>
      <c r="AD10" s="2">
        <v>20.04</v>
      </c>
      <c r="AE10" s="2">
        <v>30.14</v>
      </c>
      <c r="AF10" s="2">
        <v>50.2</v>
      </c>
      <c r="AG10" s="2">
        <v>49.7</v>
      </c>
      <c r="AH10" s="2">
        <v>0.4</v>
      </c>
      <c r="AI10" s="2">
        <v>41.32</v>
      </c>
      <c r="AJ10" s="2">
        <v>6.75</v>
      </c>
      <c r="AK10" s="2">
        <v>0.86699999999999999</v>
      </c>
      <c r="AL10" s="2">
        <v>0.84399999999999997</v>
      </c>
      <c r="AM10" s="2">
        <v>1.0389999999999999</v>
      </c>
      <c r="AN10" s="2">
        <v>0.97299999999999998</v>
      </c>
      <c r="AO10" s="2">
        <v>0.73199999999999998</v>
      </c>
      <c r="AP10" s="2">
        <v>0.92700000000000005</v>
      </c>
      <c r="AQ10" s="2">
        <v>1.244</v>
      </c>
      <c r="AR10" s="2">
        <v>1.389</v>
      </c>
      <c r="AS10" s="2">
        <v>16.23</v>
      </c>
      <c r="AT10" s="2">
        <v>307.7</v>
      </c>
      <c r="AU10" s="2">
        <v>1.2609999999999999</v>
      </c>
      <c r="AV10" s="2">
        <v>2.0099999999999998</v>
      </c>
      <c r="AW10" s="2">
        <v>7.1999999999999995E-2</v>
      </c>
      <c r="AX10" s="2">
        <v>0.188</v>
      </c>
      <c r="AY10" s="2">
        <v>0.74</v>
      </c>
      <c r="AZ10" s="2">
        <v>0.32</v>
      </c>
      <c r="BA10" s="2">
        <v>1.03</v>
      </c>
      <c r="BB10" s="2">
        <v>5.6</v>
      </c>
      <c r="BC10" s="2">
        <v>83</v>
      </c>
      <c r="BD10" s="2">
        <v>1</v>
      </c>
      <c r="BE10" s="2">
        <v>5.9</v>
      </c>
      <c r="BF10" s="2">
        <v>124</v>
      </c>
      <c r="BG10" s="2">
        <v>48</v>
      </c>
      <c r="BH10" s="2">
        <v>624</v>
      </c>
      <c r="BI10" s="2">
        <v>168</v>
      </c>
      <c r="BJ10" s="2">
        <v>14</v>
      </c>
      <c r="BK10" s="2">
        <v>33.799999999999997</v>
      </c>
      <c r="BL10" s="2">
        <v>4.0999999999999996</v>
      </c>
      <c r="BM10" s="2">
        <v>1</v>
      </c>
      <c r="BN10" s="2">
        <v>0</v>
      </c>
      <c r="BO10" s="2">
        <v>0.12</v>
      </c>
      <c r="BP10" s="2">
        <v>3.12</v>
      </c>
      <c r="BQ10" s="2">
        <v>1.38</v>
      </c>
    </row>
    <row r="11" spans="1:69" x14ac:dyDescent="0.2">
      <c r="A11">
        <v>10</v>
      </c>
      <c r="B11">
        <v>271</v>
      </c>
      <c r="C11" t="s">
        <v>15</v>
      </c>
      <c r="D11" t="s">
        <v>3</v>
      </c>
      <c r="E11">
        <v>2</v>
      </c>
      <c r="F11" s="2">
        <v>411.27413891531825</v>
      </c>
      <c r="G11" s="2">
        <v>493.50257064721904</v>
      </c>
      <c r="H11" s="2">
        <v>819.08734538534713</v>
      </c>
      <c r="I11" s="2">
        <v>884.21513217866902</v>
      </c>
      <c r="J11" s="2">
        <v>1230.3614843006653</v>
      </c>
      <c r="K11" s="2">
        <v>1377.717702825888</v>
      </c>
      <c r="L11" s="2">
        <v>82.228431731900798</v>
      </c>
      <c r="M11" s="2">
        <v>147.35621852522263</v>
      </c>
      <c r="N11" s="2">
        <v>1.8920999999999999</v>
      </c>
      <c r="O11" s="2">
        <v>19.483999999999998</v>
      </c>
      <c r="P11" s="2">
        <v>0.81020000000000003</v>
      </c>
      <c r="Q11" s="2">
        <v>17.072010512483573</v>
      </c>
      <c r="R11" s="2">
        <v>23.351839464882943</v>
      </c>
      <c r="S11" s="2">
        <v>27.224</v>
      </c>
      <c r="T11" s="2">
        <v>81.481208935611036</v>
      </c>
      <c r="U11" s="2">
        <v>66.531995540691184</v>
      </c>
      <c r="V11" s="2">
        <v>61.849635005574129</v>
      </c>
      <c r="W11" s="2">
        <v>70.51901944809461</v>
      </c>
      <c r="X11" s="2">
        <v>28.034199999999998</v>
      </c>
      <c r="Y11" s="2">
        <v>95.56</v>
      </c>
      <c r="Z11" s="2">
        <v>46.49</v>
      </c>
      <c r="AA11" s="2">
        <v>20.05</v>
      </c>
      <c r="AB11" s="2">
        <v>26.26</v>
      </c>
      <c r="AC11" s="2">
        <v>2.4900000000000002</v>
      </c>
      <c r="AD11" s="2">
        <v>26.85</v>
      </c>
      <c r="AE11" s="2">
        <v>19.54</v>
      </c>
      <c r="AF11" s="2">
        <v>46.4</v>
      </c>
      <c r="AG11" s="2">
        <v>48.4</v>
      </c>
      <c r="AH11" s="2">
        <v>-2</v>
      </c>
      <c r="AI11" s="2">
        <v>43.29</v>
      </c>
      <c r="AJ11" s="2">
        <v>5.88</v>
      </c>
      <c r="AK11" s="2">
        <v>1.5720000000000001</v>
      </c>
      <c r="AL11" s="2">
        <v>1.006</v>
      </c>
      <c r="AM11" s="2">
        <v>0.69699999999999995</v>
      </c>
      <c r="AN11" s="2">
        <v>0.64</v>
      </c>
      <c r="AO11" s="2">
        <v>1.5820000000000001</v>
      </c>
      <c r="AP11" s="2">
        <v>0.57799999999999996</v>
      </c>
      <c r="AQ11" s="2">
        <v>1.21</v>
      </c>
      <c r="AR11" s="2">
        <v>1.506</v>
      </c>
      <c r="AS11" s="2">
        <v>16.399999999999999</v>
      </c>
      <c r="AT11" s="2">
        <v>255.1</v>
      </c>
      <c r="AU11" s="2">
        <v>1.339</v>
      </c>
      <c r="AV11" s="2">
        <v>4.28</v>
      </c>
      <c r="AW11" s="2">
        <v>0.214</v>
      </c>
      <c r="AX11" s="2">
        <v>0.17799999999999999</v>
      </c>
      <c r="AY11" s="2">
        <v>0.60799999999999998</v>
      </c>
      <c r="AZ11" s="2">
        <v>0.27</v>
      </c>
      <c r="BA11" s="2">
        <v>0.99</v>
      </c>
      <c r="BB11" s="2">
        <v>6.9</v>
      </c>
      <c r="BC11" s="2">
        <v>83</v>
      </c>
      <c r="BD11" s="2">
        <v>1.2</v>
      </c>
      <c r="BE11" s="2">
        <v>5.7</v>
      </c>
      <c r="BF11" s="2">
        <v>42</v>
      </c>
      <c r="BG11" s="2">
        <v>61</v>
      </c>
      <c r="BH11" s="2">
        <v>744</v>
      </c>
      <c r="BI11" s="2">
        <v>229</v>
      </c>
      <c r="BJ11" s="2">
        <v>14</v>
      </c>
      <c r="BK11" s="2">
        <v>27.8</v>
      </c>
      <c r="BL11" s="2">
        <v>2.6</v>
      </c>
      <c r="BM11" s="2">
        <v>0.8</v>
      </c>
      <c r="BN11" s="2">
        <v>0</v>
      </c>
      <c r="BO11" s="2">
        <v>0.16</v>
      </c>
      <c r="BP11" s="2">
        <v>3.72</v>
      </c>
      <c r="BQ11" s="2">
        <v>1.88</v>
      </c>
    </row>
    <row r="12" spans="1:69" x14ac:dyDescent="0.2">
      <c r="A12">
        <v>20</v>
      </c>
      <c r="B12">
        <v>283</v>
      </c>
      <c r="C12" t="s">
        <v>15</v>
      </c>
      <c r="D12" t="s">
        <v>5</v>
      </c>
      <c r="E12">
        <v>2</v>
      </c>
      <c r="F12" s="2">
        <v>494.9614360162131</v>
      </c>
      <c r="G12" s="2">
        <v>458.65728643216079</v>
      </c>
      <c r="H12" s="2">
        <v>758.23879559930504</v>
      </c>
      <c r="I12" s="2">
        <v>985.01306532663307</v>
      </c>
      <c r="J12" s="2">
        <v>1253.2002316155181</v>
      </c>
      <c r="K12" s="2">
        <v>1443.6703517587939</v>
      </c>
      <c r="L12" s="2">
        <v>-36.304149584052311</v>
      </c>
      <c r="M12" s="2">
        <v>190.47012014327584</v>
      </c>
      <c r="N12" s="2">
        <v>2.1596000000000002</v>
      </c>
      <c r="O12" s="2">
        <v>38.468000000000004</v>
      </c>
      <c r="P12" s="2">
        <v>0.80620000000000003</v>
      </c>
      <c r="Q12" s="2">
        <v>4.9657999999999998</v>
      </c>
      <c r="R12" s="2">
        <v>4.6909999999999998</v>
      </c>
      <c r="S12" s="2">
        <v>26.291799999999999</v>
      </c>
      <c r="T12" s="2">
        <v>117.2158</v>
      </c>
      <c r="U12" s="2">
        <v>113.929</v>
      </c>
      <c r="V12" s="2">
        <v>91.522000000000006</v>
      </c>
      <c r="W12" s="2">
        <v>95.083600000000004</v>
      </c>
      <c r="X12" s="2">
        <v>27.097999999999999</v>
      </c>
      <c r="Y12" s="2">
        <v>76.3</v>
      </c>
      <c r="Z12" s="2">
        <v>41.44</v>
      </c>
      <c r="AA12" s="2">
        <v>14.6</v>
      </c>
      <c r="AB12" s="2">
        <v>8.59</v>
      </c>
      <c r="AC12" s="2">
        <v>11.12</v>
      </c>
      <c r="AD12" s="2">
        <v>35.200000000000003</v>
      </c>
      <c r="AE12" s="2">
        <v>15.94</v>
      </c>
      <c r="AF12" s="2">
        <v>51.1</v>
      </c>
      <c r="AG12" s="2">
        <v>38.6</v>
      </c>
      <c r="AH12" s="2">
        <v>12.5</v>
      </c>
      <c r="AI12" s="2">
        <v>15.13</v>
      </c>
      <c r="AJ12" s="2">
        <v>10.029999999999999</v>
      </c>
      <c r="AK12" s="2">
        <v>1.702</v>
      </c>
      <c r="AL12" s="2">
        <v>1.49</v>
      </c>
      <c r="AM12" s="2">
        <v>0.91300000000000003</v>
      </c>
      <c r="AN12" s="2">
        <v>0.876</v>
      </c>
      <c r="AO12" s="2">
        <v>2.5369999999999999</v>
      </c>
      <c r="AP12" s="2">
        <v>0.84899999999999998</v>
      </c>
      <c r="AQ12" s="2">
        <v>0.96599999999999997</v>
      </c>
      <c r="AR12" s="2">
        <v>1.7589999999999999</v>
      </c>
      <c r="AS12" s="2">
        <v>31.66</v>
      </c>
      <c r="AT12" s="2">
        <v>553.79999999999995</v>
      </c>
      <c r="AU12" s="2">
        <v>0.97599999999999998</v>
      </c>
      <c r="AV12" s="2">
        <v>3.95</v>
      </c>
      <c r="AW12" s="2">
        <v>0.13</v>
      </c>
      <c r="AX12" s="2">
        <v>0.56599999999999995</v>
      </c>
      <c r="AY12" s="2">
        <v>0.30399999999999999</v>
      </c>
      <c r="AZ12" s="2">
        <v>0.36</v>
      </c>
      <c r="BA12" s="2">
        <v>0.81</v>
      </c>
      <c r="BB12" s="2">
        <v>7.3</v>
      </c>
      <c r="BC12" s="2">
        <v>80</v>
      </c>
      <c r="BD12" s="2">
        <v>1.4</v>
      </c>
      <c r="BE12" s="2">
        <v>5.7</v>
      </c>
      <c r="BF12" s="2">
        <v>11</v>
      </c>
      <c r="BG12" s="2">
        <v>59</v>
      </c>
      <c r="BH12" s="2">
        <v>930</v>
      </c>
      <c r="BI12" s="2">
        <v>126</v>
      </c>
      <c r="BJ12" s="2">
        <v>12</v>
      </c>
      <c r="BK12" s="2">
        <v>236.2</v>
      </c>
      <c r="BL12" s="2">
        <v>2.7</v>
      </c>
      <c r="BM12" s="2">
        <v>1</v>
      </c>
      <c r="BN12" s="2">
        <v>0</v>
      </c>
      <c r="BO12" s="2">
        <v>0.15</v>
      </c>
      <c r="BP12" s="2">
        <v>4.6500000000000004</v>
      </c>
      <c r="BQ12" s="2">
        <v>1.04</v>
      </c>
    </row>
    <row r="13" spans="1:69" x14ac:dyDescent="0.2">
      <c r="A13">
        <v>20</v>
      </c>
      <c r="B13">
        <v>290</v>
      </c>
      <c r="C13" t="s">
        <v>15</v>
      </c>
      <c r="D13" t="s">
        <v>5</v>
      </c>
      <c r="E13">
        <v>1</v>
      </c>
      <c r="F13" s="2">
        <v>499.00122699386498</v>
      </c>
      <c r="G13" s="2">
        <v>510.36342119419038</v>
      </c>
      <c r="H13" s="2">
        <v>754.70061349693242</v>
      </c>
      <c r="I13" s="2">
        <v>953.87412587412575</v>
      </c>
      <c r="J13" s="2">
        <v>1253.7018404907974</v>
      </c>
      <c r="K13" s="2">
        <v>1464.2375470683162</v>
      </c>
      <c r="L13" s="2">
        <v>11.362194200325405</v>
      </c>
      <c r="M13" s="2">
        <v>210.53570657751879</v>
      </c>
      <c r="N13" s="2">
        <v>2.0460000000000003</v>
      </c>
      <c r="O13" s="2">
        <v>31.998999999999999</v>
      </c>
      <c r="P13" s="2">
        <v>0.66100000000000003</v>
      </c>
      <c r="Q13" s="2">
        <v>5.2874000000000008</v>
      </c>
      <c r="R13" s="2">
        <v>5.0246000000000004</v>
      </c>
      <c r="S13" s="2">
        <v>24.095800000000001</v>
      </c>
      <c r="T13" s="2">
        <v>118.873</v>
      </c>
      <c r="U13" s="2">
        <v>116.28700000000001</v>
      </c>
      <c r="V13" s="2">
        <v>96.554800000000014</v>
      </c>
      <c r="W13" s="2">
        <v>99.403600000000012</v>
      </c>
      <c r="X13" s="2">
        <v>24.756800000000002</v>
      </c>
      <c r="Y13" s="2">
        <v>84.39</v>
      </c>
      <c r="Z13" s="2">
        <v>46.08</v>
      </c>
      <c r="AA13" s="2">
        <v>17.149999999999999</v>
      </c>
      <c r="AB13" s="2">
        <v>13.38</v>
      </c>
      <c r="AC13" s="2">
        <v>7.35</v>
      </c>
      <c r="AD13" s="2">
        <v>36.590000000000003</v>
      </c>
      <c r="AE13" s="2">
        <v>21.69</v>
      </c>
      <c r="AF13" s="2">
        <v>58.3</v>
      </c>
      <c r="AG13" s="2">
        <v>42.7</v>
      </c>
      <c r="AH13" s="2">
        <v>15.6</v>
      </c>
      <c r="AI13" s="2">
        <v>19.14</v>
      </c>
      <c r="AJ13" s="2">
        <v>6.97</v>
      </c>
      <c r="AK13" s="2">
        <v>1.7230000000000001</v>
      </c>
      <c r="AL13" s="2">
        <v>1.444</v>
      </c>
      <c r="AM13" s="2">
        <v>0.92200000000000004</v>
      </c>
      <c r="AN13" s="2">
        <v>0.83799999999999997</v>
      </c>
      <c r="AO13" s="2">
        <v>2.488</v>
      </c>
      <c r="AP13" s="2">
        <v>0.79400000000000004</v>
      </c>
      <c r="AQ13" s="2">
        <v>1.0680000000000001</v>
      </c>
      <c r="AR13" s="2">
        <v>1.905</v>
      </c>
      <c r="AS13" s="2">
        <v>32.4</v>
      </c>
      <c r="AT13" s="2">
        <v>545.20000000000005</v>
      </c>
      <c r="AU13" s="2">
        <v>1.0629999999999999</v>
      </c>
      <c r="AV13" s="2">
        <v>12.32</v>
      </c>
      <c r="AW13" s="2">
        <v>0.193</v>
      </c>
      <c r="AX13" s="2">
        <v>0.36499999999999999</v>
      </c>
      <c r="AY13" s="2">
        <v>0.442</v>
      </c>
      <c r="AZ13" s="2">
        <v>0.51</v>
      </c>
      <c r="BA13" s="2">
        <v>0.86</v>
      </c>
      <c r="BB13" s="2">
        <v>8.1</v>
      </c>
      <c r="BC13" s="2">
        <v>84</v>
      </c>
      <c r="BD13" s="2">
        <v>1.3</v>
      </c>
      <c r="BE13" s="2">
        <v>6.1</v>
      </c>
      <c r="BF13" s="2">
        <v>13</v>
      </c>
      <c r="BG13" s="2">
        <v>95</v>
      </c>
      <c r="BH13" s="2">
        <v>1010</v>
      </c>
      <c r="BI13" s="2">
        <v>183</v>
      </c>
      <c r="BJ13" s="2">
        <v>12</v>
      </c>
      <c r="BK13" s="2">
        <v>231.1</v>
      </c>
      <c r="BL13" s="2">
        <v>2.2000000000000002</v>
      </c>
      <c r="BM13" s="2">
        <v>1.4</v>
      </c>
      <c r="BN13" s="2">
        <v>0</v>
      </c>
      <c r="BO13" s="2">
        <v>0.24</v>
      </c>
      <c r="BP13" s="2">
        <v>5.05</v>
      </c>
      <c r="BQ13" s="2">
        <v>1.5</v>
      </c>
    </row>
    <row r="14" spans="1:69" x14ac:dyDescent="0.2">
      <c r="A14">
        <v>20</v>
      </c>
      <c r="B14">
        <v>31</v>
      </c>
      <c r="C14" t="s">
        <v>2</v>
      </c>
      <c r="D14" t="s">
        <v>7</v>
      </c>
      <c r="E14">
        <v>3</v>
      </c>
      <c r="F14" s="2">
        <v>127.05628742514961</v>
      </c>
      <c r="G14" s="2">
        <v>121.69797570850197</v>
      </c>
      <c r="H14" s="2">
        <v>213.27305389221559</v>
      </c>
      <c r="I14" s="2">
        <v>209.64777327935218</v>
      </c>
      <c r="J14" s="2">
        <v>340.32934131736522</v>
      </c>
      <c r="K14" s="2">
        <v>331.34574898785417</v>
      </c>
      <c r="L14" s="2">
        <v>-5.3583117166476342</v>
      </c>
      <c r="M14" s="2">
        <v>-8.9835923295110547</v>
      </c>
      <c r="N14" s="2">
        <v>0.39200000000000002</v>
      </c>
      <c r="O14" s="2">
        <v>5.1171999999999995</v>
      </c>
      <c r="P14" s="2">
        <v>0.35539999999999999</v>
      </c>
      <c r="Q14" s="2">
        <v>4.4569999999999999</v>
      </c>
      <c r="R14" s="2">
        <v>4.8782000000000005</v>
      </c>
      <c r="S14" s="2">
        <v>9.8789999999999996</v>
      </c>
      <c r="T14" s="2">
        <v>32.037399999999998</v>
      </c>
      <c r="U14" s="2">
        <v>23.402199999999997</v>
      </c>
      <c r="V14" s="2">
        <v>18.045999999999999</v>
      </c>
      <c r="W14" s="2">
        <v>26.259999999999998</v>
      </c>
      <c r="X14" s="2">
        <v>10.234399999999999</v>
      </c>
      <c r="Y14" s="2">
        <v>109.83</v>
      </c>
      <c r="Z14" s="2">
        <v>34.020000000000003</v>
      </c>
      <c r="AA14" s="2">
        <v>49.19</v>
      </c>
      <c r="AB14" s="2">
        <v>24.55</v>
      </c>
      <c r="AC14" s="2">
        <v>1.75</v>
      </c>
      <c r="AD14" s="2">
        <v>19.73</v>
      </c>
      <c r="AE14" s="2">
        <v>63.82</v>
      </c>
      <c r="AF14" s="2">
        <v>83.6</v>
      </c>
      <c r="AG14" s="2">
        <v>55.6</v>
      </c>
      <c r="AH14" s="2">
        <v>27.9</v>
      </c>
      <c r="AI14" s="2">
        <v>22.07</v>
      </c>
      <c r="AJ14" s="2">
        <v>4.21</v>
      </c>
      <c r="AK14" s="2">
        <v>1.2050000000000001</v>
      </c>
      <c r="AL14" s="2">
        <v>0.91100000000000003</v>
      </c>
      <c r="AM14" s="2">
        <v>1.004</v>
      </c>
      <c r="AN14" s="2">
        <v>0.75600000000000001</v>
      </c>
      <c r="AO14" s="2">
        <v>1.0980000000000001</v>
      </c>
      <c r="AP14" s="2">
        <v>0.57999999999999996</v>
      </c>
      <c r="AQ14" s="2">
        <v>1.39</v>
      </c>
      <c r="AR14" s="2">
        <v>0.45400000000000001</v>
      </c>
      <c r="AS14" s="2">
        <v>5.38</v>
      </c>
      <c r="AT14" s="2">
        <v>96.5</v>
      </c>
      <c r="AU14" s="2">
        <v>1.5029999999999999</v>
      </c>
      <c r="AV14" s="2">
        <v>4.46</v>
      </c>
      <c r="AW14" s="2">
        <v>9.2999999999999999E-2</v>
      </c>
      <c r="AX14" s="2">
        <v>6.4000000000000001E-2</v>
      </c>
      <c r="AY14" s="2">
        <v>0.84299999999999997</v>
      </c>
      <c r="AZ14" s="2">
        <v>0.18</v>
      </c>
      <c r="BA14" s="2">
        <v>1.28</v>
      </c>
      <c r="BB14" s="2">
        <v>2.6</v>
      </c>
      <c r="BC14" s="2">
        <v>69</v>
      </c>
      <c r="BD14" s="2">
        <v>0.8</v>
      </c>
      <c r="BE14" s="2">
        <v>5.5</v>
      </c>
      <c r="BF14" s="2">
        <v>42</v>
      </c>
      <c r="BG14" s="2">
        <v>94</v>
      </c>
      <c r="BH14" s="2">
        <v>224</v>
      </c>
      <c r="BI14" s="2">
        <v>56</v>
      </c>
      <c r="BJ14" s="2">
        <v>8</v>
      </c>
      <c r="BK14" s="2">
        <v>9.6999999999999993</v>
      </c>
      <c r="BL14" s="2">
        <v>2.6</v>
      </c>
      <c r="BM14" s="2">
        <v>0.8</v>
      </c>
      <c r="BN14" s="2">
        <v>0</v>
      </c>
      <c r="BO14" s="2">
        <v>0.24</v>
      </c>
      <c r="BP14" s="2">
        <v>1.1200000000000001</v>
      </c>
      <c r="BQ14" s="2">
        <v>0.46</v>
      </c>
    </row>
    <row r="15" spans="1:69" x14ac:dyDescent="0.2">
      <c r="A15">
        <v>20</v>
      </c>
      <c r="B15">
        <v>60</v>
      </c>
      <c r="C15" t="s">
        <v>2</v>
      </c>
      <c r="D15" t="s">
        <v>5</v>
      </c>
      <c r="E15">
        <v>1</v>
      </c>
      <c r="F15" s="2">
        <v>75.050343878954479</v>
      </c>
      <c r="G15" s="2">
        <v>-21.32978889757641</v>
      </c>
      <c r="H15" s="2">
        <v>476.70866574965612</v>
      </c>
      <c r="I15" s="2">
        <v>523.76481626270527</v>
      </c>
      <c r="J15" s="2">
        <v>551.75900962861056</v>
      </c>
      <c r="K15" s="2">
        <v>502.43502736512886</v>
      </c>
      <c r="L15" s="2">
        <v>-96.380132776530886</v>
      </c>
      <c r="M15" s="2">
        <v>-49.323982263481696</v>
      </c>
      <c r="N15" s="2">
        <v>0.96179999999999999</v>
      </c>
      <c r="O15" s="2">
        <v>26.34</v>
      </c>
      <c r="P15" s="2">
        <v>0.3296</v>
      </c>
      <c r="Q15" s="2">
        <v>3.5534000000000008</v>
      </c>
      <c r="R15" s="2">
        <v>3.9542000000000002</v>
      </c>
      <c r="S15" s="2">
        <v>20.504200000000001</v>
      </c>
      <c r="T15" s="2">
        <v>40.447000000000003</v>
      </c>
      <c r="U15" s="2">
        <v>30.664599999999997</v>
      </c>
      <c r="V15" s="2">
        <v>13.784999999999993</v>
      </c>
      <c r="W15" s="2">
        <v>23.166600000000006</v>
      </c>
      <c r="X15" s="2">
        <v>20.8338</v>
      </c>
      <c r="Y15" s="2">
        <v>94.51</v>
      </c>
      <c r="Z15" s="2">
        <v>30.97</v>
      </c>
      <c r="AA15" s="2">
        <v>37.06</v>
      </c>
      <c r="AB15" s="2">
        <v>24.09</v>
      </c>
      <c r="AC15" s="2">
        <v>1.82</v>
      </c>
      <c r="AD15" s="2">
        <v>29.98</v>
      </c>
      <c r="AE15" s="2">
        <v>40.32</v>
      </c>
      <c r="AF15" s="2">
        <v>70.3</v>
      </c>
      <c r="AG15" s="2">
        <v>47.9</v>
      </c>
      <c r="AH15" s="2">
        <v>22.4</v>
      </c>
      <c r="AI15" s="2">
        <v>20.39</v>
      </c>
      <c r="AJ15" s="2">
        <v>3.82</v>
      </c>
      <c r="AK15" s="2">
        <v>1.2270000000000001</v>
      </c>
      <c r="AL15" s="2">
        <v>1.2130000000000001</v>
      </c>
      <c r="AM15" s="2">
        <v>1.0329999999999999</v>
      </c>
      <c r="AN15" s="2">
        <v>0.98899999999999999</v>
      </c>
      <c r="AO15" s="2">
        <v>1.4870000000000001</v>
      </c>
      <c r="AP15" s="2">
        <v>0.96799999999999997</v>
      </c>
      <c r="AQ15" s="2">
        <v>1.196</v>
      </c>
      <c r="AR15" s="2">
        <v>0.877</v>
      </c>
      <c r="AS15" s="2">
        <v>25.12</v>
      </c>
      <c r="AT15" s="2">
        <v>250.3</v>
      </c>
      <c r="AU15" s="2">
        <v>1.139</v>
      </c>
      <c r="AV15" s="2">
        <v>2.77</v>
      </c>
      <c r="AW15" s="2">
        <v>0.109</v>
      </c>
      <c r="AX15" s="2">
        <v>0.112</v>
      </c>
      <c r="AY15" s="2">
        <v>0.77900000000000003</v>
      </c>
      <c r="AZ15" s="2">
        <v>0.51</v>
      </c>
      <c r="BA15" s="2">
        <v>0.92</v>
      </c>
      <c r="BB15" s="2">
        <v>4.9000000000000004</v>
      </c>
      <c r="BC15" s="2">
        <v>24</v>
      </c>
      <c r="BD15" s="2">
        <v>3.7</v>
      </c>
      <c r="BE15" s="2">
        <v>3.9</v>
      </c>
      <c r="BF15" s="2">
        <v>15</v>
      </c>
      <c r="BG15" s="2">
        <v>34</v>
      </c>
      <c r="BH15" s="2">
        <v>145</v>
      </c>
      <c r="BI15" s="2">
        <v>43</v>
      </c>
      <c r="BJ15" s="2">
        <v>14</v>
      </c>
      <c r="BK15" s="2">
        <v>2.4</v>
      </c>
      <c r="BL15" s="2">
        <v>1</v>
      </c>
      <c r="BM15" s="2">
        <v>0.5</v>
      </c>
      <c r="BN15" s="2">
        <v>0</v>
      </c>
      <c r="BO15" s="2">
        <v>0.09</v>
      </c>
      <c r="BP15" s="2">
        <v>0.73</v>
      </c>
      <c r="BQ15" s="2">
        <v>0.35</v>
      </c>
    </row>
    <row r="16" spans="1:69" x14ac:dyDescent="0.2">
      <c r="A16">
        <v>20</v>
      </c>
      <c r="B16">
        <v>73</v>
      </c>
      <c r="C16" t="s">
        <v>2</v>
      </c>
      <c r="D16" t="s">
        <v>7</v>
      </c>
      <c r="E16">
        <v>4</v>
      </c>
      <c r="F16" s="2">
        <v>92.211262135922283</v>
      </c>
      <c r="G16" s="2">
        <v>113.28919597989945</v>
      </c>
      <c r="H16" s="2">
        <v>366.88310679611646</v>
      </c>
      <c r="I16" s="2">
        <v>259.89874371859287</v>
      </c>
      <c r="J16" s="2">
        <v>459.09436893203872</v>
      </c>
      <c r="K16" s="2">
        <v>373.1879396984923</v>
      </c>
      <c r="L16" s="2">
        <v>21.077933843977164</v>
      </c>
      <c r="M16" s="2">
        <v>-85.906429233546419</v>
      </c>
      <c r="N16" s="2">
        <v>0.25069999999999998</v>
      </c>
      <c r="O16" s="2">
        <v>3.1962000000000002</v>
      </c>
      <c r="P16" s="2">
        <v>0.31019999999999998</v>
      </c>
      <c r="Q16" s="2">
        <v>5.1326000000000001</v>
      </c>
      <c r="R16" s="2">
        <v>3.9830000000000005</v>
      </c>
      <c r="S16" s="2">
        <v>9.2527999999999988</v>
      </c>
      <c r="T16" s="2">
        <v>35.5642</v>
      </c>
      <c r="U16" s="2">
        <v>17.4514</v>
      </c>
      <c r="V16" s="2">
        <v>11.871400000000001</v>
      </c>
      <c r="W16" s="2">
        <v>31.133799999999997</v>
      </c>
      <c r="X16" s="2">
        <v>9.5629999999999988</v>
      </c>
      <c r="Y16" s="2">
        <v>116.26</v>
      </c>
      <c r="Z16" s="2">
        <v>30.44</v>
      </c>
      <c r="AA16" s="2">
        <v>43.76</v>
      </c>
      <c r="AB16" s="2">
        <v>39.31</v>
      </c>
      <c r="AC16" s="2">
        <v>2.42</v>
      </c>
      <c r="AD16" s="2">
        <v>13.1</v>
      </c>
      <c r="AE16" s="2">
        <v>62.21</v>
      </c>
      <c r="AF16" s="2">
        <v>75.3</v>
      </c>
      <c r="AG16" s="2">
        <v>58.9</v>
      </c>
      <c r="AH16" s="2">
        <v>16.399999999999999</v>
      </c>
      <c r="AI16" s="2">
        <v>36.549999999999997</v>
      </c>
      <c r="AJ16" s="2">
        <v>4.4000000000000004</v>
      </c>
      <c r="AK16" s="2">
        <v>1.04</v>
      </c>
      <c r="AL16" s="2">
        <v>0.70699999999999996</v>
      </c>
      <c r="AM16" s="2">
        <v>1.0149999999999999</v>
      </c>
      <c r="AN16" s="2">
        <v>0.68</v>
      </c>
      <c r="AO16" s="2">
        <v>0.73599999999999999</v>
      </c>
      <c r="AP16" s="2">
        <v>0.43</v>
      </c>
      <c r="AQ16" s="2">
        <v>1.472</v>
      </c>
      <c r="AR16" s="2">
        <v>0.30399999999999999</v>
      </c>
      <c r="AS16" s="2">
        <v>4.63</v>
      </c>
      <c r="AT16" s="2">
        <v>58</v>
      </c>
      <c r="AU16" s="2">
        <v>1.605</v>
      </c>
      <c r="AV16" s="2">
        <v>1.51</v>
      </c>
      <c r="AW16" s="2">
        <v>0.09</v>
      </c>
      <c r="AX16" s="2">
        <v>4.9000000000000002E-2</v>
      </c>
      <c r="AY16" s="2">
        <v>0.86099999999999999</v>
      </c>
      <c r="AZ16" s="2">
        <v>0.13</v>
      </c>
      <c r="BA16" s="2">
        <v>1.36</v>
      </c>
      <c r="BB16" s="2">
        <v>2.2999999999999998</v>
      </c>
      <c r="BC16" s="2">
        <v>78</v>
      </c>
      <c r="BD16" s="2">
        <v>0.5</v>
      </c>
      <c r="BE16" s="2">
        <v>5.7</v>
      </c>
      <c r="BF16" s="2">
        <v>35</v>
      </c>
      <c r="BG16" s="2">
        <v>142</v>
      </c>
      <c r="BH16" s="2">
        <v>204</v>
      </c>
      <c r="BI16" s="2">
        <v>50</v>
      </c>
      <c r="BJ16" s="2">
        <v>10</v>
      </c>
      <c r="BK16" s="2">
        <v>4.8</v>
      </c>
      <c r="BL16" s="2">
        <v>2.5</v>
      </c>
      <c r="BM16" s="2">
        <v>0.9</v>
      </c>
      <c r="BN16" s="2">
        <v>0</v>
      </c>
      <c r="BO16" s="2">
        <v>0.36</v>
      </c>
      <c r="BP16" s="2">
        <v>1.02</v>
      </c>
      <c r="BQ16" s="2">
        <v>0.41</v>
      </c>
    </row>
    <row r="17" spans="1:69" x14ac:dyDescent="0.2">
      <c r="A17">
        <v>20</v>
      </c>
      <c r="B17">
        <v>126</v>
      </c>
      <c r="C17" t="s">
        <v>2</v>
      </c>
      <c r="D17" t="s">
        <v>7</v>
      </c>
      <c r="E17">
        <v>2</v>
      </c>
      <c r="F17" s="2">
        <v>53.990839694656358</v>
      </c>
      <c r="G17" s="2">
        <v>120.50642201834852</v>
      </c>
      <c r="H17" s="2">
        <v>129.19236641221372</v>
      </c>
      <c r="I17" s="2">
        <v>223.40036697247697</v>
      </c>
      <c r="J17" s="2">
        <v>183.18320610687007</v>
      </c>
      <c r="K17" s="2">
        <v>343.90678899082548</v>
      </c>
      <c r="L17" s="2">
        <v>66.515582323692158</v>
      </c>
      <c r="M17" s="2">
        <v>160.7235828839554</v>
      </c>
      <c r="N17" s="2">
        <v>0.2258</v>
      </c>
      <c r="O17" s="2">
        <v>3.774</v>
      </c>
      <c r="P17" s="2">
        <v>0.34803312629399585</v>
      </c>
      <c r="Q17" s="2">
        <v>3.3506</v>
      </c>
      <c r="R17" s="2">
        <v>4.6501999999999999</v>
      </c>
      <c r="S17" s="2">
        <v>5.0496894409937889</v>
      </c>
      <c r="T17" s="2">
        <v>16.913799999999998</v>
      </c>
      <c r="U17" s="2">
        <v>15.254200000000001</v>
      </c>
      <c r="V17" s="2">
        <v>14.506677432712218</v>
      </c>
      <c r="W17" s="2">
        <v>14.866677432712214</v>
      </c>
      <c r="X17" s="2">
        <v>5.3977225672877847</v>
      </c>
      <c r="Y17" s="2">
        <v>122.13</v>
      </c>
      <c r="Z17" s="2">
        <v>15.2</v>
      </c>
      <c r="AA17" s="2">
        <v>49.58</v>
      </c>
      <c r="AB17" s="2">
        <v>50.64</v>
      </c>
      <c r="AC17" s="2">
        <v>6.3</v>
      </c>
      <c r="AD17" s="2">
        <v>14.19</v>
      </c>
      <c r="AE17" s="2">
        <v>61.21</v>
      </c>
      <c r="AF17" s="2">
        <v>75.400000000000006</v>
      </c>
      <c r="AG17" s="2">
        <v>61.8</v>
      </c>
      <c r="AH17" s="2">
        <v>13.6</v>
      </c>
      <c r="AI17" s="2">
        <v>41.58</v>
      </c>
      <c r="AJ17" s="2">
        <v>5.15</v>
      </c>
      <c r="AK17" s="2">
        <v>0.67600000000000005</v>
      </c>
      <c r="AL17" s="2">
        <v>0.7</v>
      </c>
      <c r="AM17" s="2">
        <v>1.1639999999999999</v>
      </c>
      <c r="AN17" s="2">
        <v>1.036</v>
      </c>
      <c r="AO17" s="2">
        <v>0.47399999999999998</v>
      </c>
      <c r="AP17" s="2">
        <v>0.93400000000000005</v>
      </c>
      <c r="AQ17" s="2">
        <v>1.546</v>
      </c>
      <c r="AR17" s="2">
        <v>0.30499999999999999</v>
      </c>
      <c r="AS17" s="2">
        <v>5.5</v>
      </c>
      <c r="AT17" s="2">
        <v>93.5</v>
      </c>
      <c r="AU17" s="2">
        <v>1.41</v>
      </c>
      <c r="AV17" s="2">
        <v>1.52</v>
      </c>
      <c r="AW17" s="2">
        <v>4.5999999999999999E-2</v>
      </c>
      <c r="AX17" s="2">
        <v>-3.6999999999999998E-2</v>
      </c>
      <c r="AY17" s="2">
        <v>0.99199999999999999</v>
      </c>
      <c r="AZ17" s="2">
        <v>0.22</v>
      </c>
      <c r="BA17" s="2">
        <v>1.37</v>
      </c>
      <c r="BB17" s="2">
        <v>2.4</v>
      </c>
      <c r="BC17" s="2">
        <v>71</v>
      </c>
      <c r="BD17" s="2">
        <v>0.7</v>
      </c>
      <c r="BE17" s="2">
        <v>5.6</v>
      </c>
      <c r="BF17" s="2">
        <v>134</v>
      </c>
      <c r="BG17" s="2">
        <v>107</v>
      </c>
      <c r="BH17" s="2">
        <v>215</v>
      </c>
      <c r="BI17" s="2">
        <v>41</v>
      </c>
      <c r="BJ17" s="2">
        <v>7</v>
      </c>
      <c r="BK17" s="2">
        <v>7.9</v>
      </c>
      <c r="BL17" s="2">
        <v>7.4</v>
      </c>
      <c r="BM17" s="2">
        <v>0.6</v>
      </c>
      <c r="BN17" s="2">
        <v>0</v>
      </c>
      <c r="BO17" s="2">
        <v>0.27</v>
      </c>
      <c r="BP17" s="2">
        <v>1.08</v>
      </c>
      <c r="BQ17" s="2">
        <v>0.34</v>
      </c>
    </row>
    <row r="18" spans="1:69" x14ac:dyDescent="0.2">
      <c r="A18">
        <v>20</v>
      </c>
      <c r="B18">
        <v>144</v>
      </c>
      <c r="C18" t="s">
        <v>2</v>
      </c>
      <c r="D18" t="s">
        <v>5</v>
      </c>
      <c r="E18">
        <v>4</v>
      </c>
      <c r="F18" s="2">
        <v>82.106716141001698</v>
      </c>
      <c r="G18" s="2">
        <v>137.19008919722489</v>
      </c>
      <c r="H18" s="2">
        <v>249.69439703153986</v>
      </c>
      <c r="I18" s="2">
        <v>404.56055500495535</v>
      </c>
      <c r="J18" s="2">
        <v>331.80111317254159</v>
      </c>
      <c r="K18" s="2">
        <v>541.75064420218018</v>
      </c>
      <c r="L18" s="2">
        <v>55.083373056223195</v>
      </c>
      <c r="M18" s="2">
        <v>209.94953102963859</v>
      </c>
      <c r="N18" s="2">
        <v>0.81199999999999994</v>
      </c>
      <c r="O18" s="2">
        <v>18.073</v>
      </c>
      <c r="P18" s="2">
        <v>0.47540000000000004</v>
      </c>
      <c r="Q18" s="2">
        <v>3.2665999999999995</v>
      </c>
      <c r="R18" s="2">
        <v>3.7946</v>
      </c>
      <c r="S18" s="2">
        <v>18.186199999999999</v>
      </c>
      <c r="T18" s="2">
        <v>27.598599999999998</v>
      </c>
      <c r="U18" s="2">
        <v>27.908200000000001</v>
      </c>
      <c r="V18" s="2">
        <v>13.0412</v>
      </c>
      <c r="W18" s="2">
        <v>12.203599999999998</v>
      </c>
      <c r="X18" s="2">
        <v>18.6616</v>
      </c>
      <c r="Y18" s="2">
        <v>103.88</v>
      </c>
      <c r="Z18" s="2">
        <v>5.09</v>
      </c>
      <c r="AA18" s="2">
        <v>55.24</v>
      </c>
      <c r="AB18" s="2">
        <v>40</v>
      </c>
      <c r="AC18" s="2">
        <v>3.01</v>
      </c>
      <c r="AD18" s="2">
        <v>9.1</v>
      </c>
      <c r="AE18" s="2">
        <v>60.92</v>
      </c>
      <c r="AF18" s="2">
        <v>70</v>
      </c>
      <c r="AG18" s="2">
        <v>52.6</v>
      </c>
      <c r="AH18" s="2">
        <v>17.399999999999999</v>
      </c>
      <c r="AI18" s="2">
        <v>30.38</v>
      </c>
      <c r="AJ18" s="2">
        <v>3.48</v>
      </c>
      <c r="AK18" s="2">
        <v>0.53300000000000003</v>
      </c>
      <c r="AL18" s="2">
        <v>0.66400000000000003</v>
      </c>
      <c r="AM18" s="2">
        <v>1.161</v>
      </c>
      <c r="AN18" s="2">
        <v>1.246</v>
      </c>
      <c r="AO18" s="2">
        <v>0.35399999999999998</v>
      </c>
      <c r="AP18" s="2">
        <v>1.788</v>
      </c>
      <c r="AQ18" s="2">
        <v>1.3149999999999999</v>
      </c>
      <c r="AR18" s="2">
        <v>0.61799999999999999</v>
      </c>
      <c r="AS18" s="2">
        <v>12.65</v>
      </c>
      <c r="AT18" s="2">
        <v>130.80000000000001</v>
      </c>
      <c r="AU18" s="2">
        <v>1.373</v>
      </c>
      <c r="AV18" s="2">
        <v>0.2</v>
      </c>
      <c r="AW18" s="2">
        <v>6.0999999999999999E-2</v>
      </c>
      <c r="AX18" s="2">
        <v>6.5000000000000002E-2</v>
      </c>
      <c r="AY18" s="2">
        <v>0.874</v>
      </c>
      <c r="AZ18" s="2">
        <v>0.32</v>
      </c>
      <c r="BA18" s="2">
        <v>1.28</v>
      </c>
      <c r="BB18" s="2">
        <v>3.9</v>
      </c>
      <c r="BC18" s="2">
        <v>40</v>
      </c>
      <c r="BD18" s="2">
        <v>2.2999999999999998</v>
      </c>
      <c r="BE18" s="2">
        <v>4.3</v>
      </c>
      <c r="BF18" s="2">
        <v>39</v>
      </c>
      <c r="BG18" s="2">
        <v>38</v>
      </c>
      <c r="BH18" s="2">
        <v>213</v>
      </c>
      <c r="BI18" s="2">
        <v>47</v>
      </c>
      <c r="BJ18" s="2">
        <v>14</v>
      </c>
      <c r="BK18" s="2">
        <v>3.2</v>
      </c>
      <c r="BL18" s="2">
        <v>1.9</v>
      </c>
      <c r="BM18" s="2">
        <v>0.6</v>
      </c>
      <c r="BN18" s="2">
        <v>0.1</v>
      </c>
      <c r="BO18" s="2">
        <v>0.1</v>
      </c>
      <c r="BP18" s="2">
        <v>1.07</v>
      </c>
      <c r="BQ18" s="2">
        <v>0.39</v>
      </c>
    </row>
    <row r="19" spans="1:69" x14ac:dyDescent="0.2">
      <c r="A19">
        <v>20</v>
      </c>
      <c r="B19">
        <v>145</v>
      </c>
      <c r="C19" t="s">
        <v>2</v>
      </c>
      <c r="D19" t="s">
        <v>0</v>
      </c>
      <c r="E19">
        <v>1</v>
      </c>
      <c r="F19" s="2">
        <v>151.38120330318515</v>
      </c>
      <c r="G19" s="2">
        <v>213.77359855334529</v>
      </c>
      <c r="H19" s="2">
        <v>271.77097915847418</v>
      </c>
      <c r="I19" s="2">
        <v>353.00050632911388</v>
      </c>
      <c r="J19" s="2">
        <v>423.15218246165932</v>
      </c>
      <c r="K19" s="2">
        <v>566.77410488245914</v>
      </c>
      <c r="L19" s="2">
        <v>62.392395250160149</v>
      </c>
      <c r="M19" s="2">
        <v>143.62192242079982</v>
      </c>
      <c r="N19" s="2">
        <v>1.0116000000000001</v>
      </c>
      <c r="O19" s="2">
        <v>13.928000000000001</v>
      </c>
      <c r="P19" s="2">
        <v>0.99119999999999997</v>
      </c>
      <c r="Q19" s="2">
        <v>8.2957999999999998</v>
      </c>
      <c r="R19" s="2">
        <v>21.450200000000002</v>
      </c>
      <c r="S19" s="2">
        <v>10.572199999999999</v>
      </c>
      <c r="T19" s="2">
        <v>22.2682</v>
      </c>
      <c r="U19" s="2">
        <v>12.5602</v>
      </c>
      <c r="V19" s="2">
        <v>22.447000000000006</v>
      </c>
      <c r="W19" s="2">
        <v>19.000600000000002</v>
      </c>
      <c r="X19" s="2">
        <v>11.563399999999998</v>
      </c>
      <c r="Y19" s="2">
        <v>102.08</v>
      </c>
      <c r="Z19" s="2">
        <v>44.39</v>
      </c>
      <c r="AA19" s="2">
        <v>34.4</v>
      </c>
      <c r="AB19" s="2">
        <v>21.32</v>
      </c>
      <c r="AC19" s="2">
        <v>1.71</v>
      </c>
      <c r="AD19" s="2">
        <v>33.61</v>
      </c>
      <c r="AE19" s="2">
        <v>42.11</v>
      </c>
      <c r="AF19" s="2">
        <v>75.7</v>
      </c>
      <c r="AG19" s="2">
        <v>51.7</v>
      </c>
      <c r="AH19" s="2">
        <v>24</v>
      </c>
      <c r="AI19" s="2">
        <v>23.14</v>
      </c>
      <c r="AJ19" s="2">
        <v>3.22</v>
      </c>
      <c r="AK19" s="2">
        <v>1.4930000000000001</v>
      </c>
      <c r="AL19" s="2">
        <v>1.24</v>
      </c>
      <c r="AM19" s="2">
        <v>0.96099999999999997</v>
      </c>
      <c r="AN19" s="2">
        <v>0.83</v>
      </c>
      <c r="AO19" s="2">
        <v>1.851</v>
      </c>
      <c r="AP19" s="2">
        <v>0.75700000000000001</v>
      </c>
      <c r="AQ19" s="2">
        <v>1.292</v>
      </c>
      <c r="AR19" s="2">
        <v>0.996</v>
      </c>
      <c r="AS19" s="2">
        <v>13.83</v>
      </c>
      <c r="AT19" s="2">
        <v>175.6</v>
      </c>
      <c r="AU19" s="2">
        <v>1.468</v>
      </c>
      <c r="AV19" s="2">
        <v>15.85</v>
      </c>
      <c r="AW19" s="2">
        <v>9.9000000000000005E-2</v>
      </c>
      <c r="AX19" s="2">
        <v>8.5999999999999993E-2</v>
      </c>
      <c r="AY19" s="2">
        <v>0.81399999999999995</v>
      </c>
      <c r="AZ19" s="2">
        <v>0.32</v>
      </c>
      <c r="BA19" s="2">
        <v>1.0900000000000001</v>
      </c>
      <c r="BB19" s="2">
        <v>7</v>
      </c>
      <c r="BC19" s="2">
        <v>93</v>
      </c>
      <c r="BD19" s="2">
        <v>0.5</v>
      </c>
      <c r="BE19" s="2">
        <v>6.5</v>
      </c>
      <c r="BF19" s="2">
        <v>205</v>
      </c>
      <c r="BG19" s="2">
        <v>85</v>
      </c>
      <c r="BH19" s="2">
        <v>921</v>
      </c>
      <c r="BI19" s="2">
        <v>198</v>
      </c>
      <c r="BJ19" s="2">
        <v>11</v>
      </c>
      <c r="BK19" s="2">
        <v>20.5</v>
      </c>
      <c r="BL19" s="2">
        <v>48</v>
      </c>
      <c r="BM19" s="2">
        <v>5.6</v>
      </c>
      <c r="BN19" s="2">
        <v>0</v>
      </c>
      <c r="BO19" s="2">
        <v>0.22</v>
      </c>
      <c r="BP19" s="2">
        <v>4.6100000000000003</v>
      </c>
      <c r="BQ19" s="2">
        <v>1.63</v>
      </c>
    </row>
    <row r="20" spans="1:69" x14ac:dyDescent="0.2">
      <c r="A20">
        <v>20</v>
      </c>
      <c r="B20">
        <v>170</v>
      </c>
      <c r="C20" t="s">
        <v>2</v>
      </c>
      <c r="D20" t="s">
        <v>0</v>
      </c>
      <c r="E20">
        <v>3</v>
      </c>
      <c r="F20" s="2">
        <v>210.44379172229623</v>
      </c>
      <c r="G20" s="2">
        <v>211.88296409472872</v>
      </c>
      <c r="H20" s="2">
        <v>349.39065420560752</v>
      </c>
      <c r="I20" s="2">
        <v>387.87318563789148</v>
      </c>
      <c r="J20" s="2">
        <v>559.83444592790374</v>
      </c>
      <c r="K20" s="2">
        <v>599.7561497326202</v>
      </c>
      <c r="L20" s="2">
        <v>1.4391723724324947</v>
      </c>
      <c r="M20" s="2">
        <v>39.921703804716458</v>
      </c>
      <c r="N20" s="2">
        <v>1.0286</v>
      </c>
      <c r="O20" s="2">
        <v>13.251999999999999</v>
      </c>
      <c r="P20" s="2">
        <v>0.92160000000000009</v>
      </c>
      <c r="Q20" s="2">
        <v>5.3773999999999997</v>
      </c>
      <c r="R20" s="2">
        <v>12.235399999999998</v>
      </c>
      <c r="S20" s="2">
        <v>20.302199999999999</v>
      </c>
      <c r="T20" s="2">
        <v>60.293799999999997</v>
      </c>
      <c r="U20" s="2">
        <v>50.810199999999995</v>
      </c>
      <c r="V20" s="2">
        <v>41.821799999999996</v>
      </c>
      <c r="W20" s="2">
        <v>44.447400000000002</v>
      </c>
      <c r="X20" s="2">
        <v>21.223800000000001</v>
      </c>
      <c r="Y20" s="2">
        <v>98.93</v>
      </c>
      <c r="Z20" s="2">
        <v>39.32</v>
      </c>
      <c r="AA20" s="2">
        <v>36.25</v>
      </c>
      <c r="AB20" s="2">
        <v>21.06</v>
      </c>
      <c r="AC20" s="2">
        <v>1.99</v>
      </c>
      <c r="AD20" s="2">
        <v>32.549999999999997</v>
      </c>
      <c r="AE20" s="2">
        <v>43.94</v>
      </c>
      <c r="AF20" s="2">
        <v>76.5</v>
      </c>
      <c r="AG20" s="2">
        <v>50.1</v>
      </c>
      <c r="AH20" s="2">
        <v>26.4</v>
      </c>
      <c r="AI20" s="2">
        <v>18.760000000000002</v>
      </c>
      <c r="AJ20" s="2">
        <v>3.68</v>
      </c>
      <c r="AK20" s="2">
        <v>1.405</v>
      </c>
      <c r="AL20" s="2">
        <v>1.2529999999999999</v>
      </c>
      <c r="AM20" s="2">
        <v>1.012</v>
      </c>
      <c r="AN20" s="2">
        <v>0.89200000000000002</v>
      </c>
      <c r="AO20" s="2">
        <v>1.7609999999999999</v>
      </c>
      <c r="AP20" s="2">
        <v>0.82799999999999996</v>
      </c>
      <c r="AQ20" s="2">
        <v>1.252</v>
      </c>
      <c r="AR20" s="2">
        <v>0.999</v>
      </c>
      <c r="AS20" s="2">
        <v>14.99</v>
      </c>
      <c r="AT20" s="2">
        <v>200</v>
      </c>
      <c r="AU20" s="2">
        <v>1.3979999999999999</v>
      </c>
      <c r="AV20" s="2">
        <v>6.13</v>
      </c>
      <c r="AW20" s="2">
        <v>0.15</v>
      </c>
      <c r="AX20" s="2">
        <v>9.7000000000000003E-2</v>
      </c>
      <c r="AY20" s="2">
        <v>0.753</v>
      </c>
      <c r="AZ20" s="2">
        <v>0.41</v>
      </c>
      <c r="BA20" s="2">
        <v>1.02</v>
      </c>
      <c r="BB20" s="2">
        <v>6.4</v>
      </c>
      <c r="BC20" s="2">
        <v>83</v>
      </c>
      <c r="BD20" s="2">
        <v>1.1000000000000001</v>
      </c>
      <c r="BE20" s="2">
        <v>5.8</v>
      </c>
      <c r="BF20" s="2">
        <v>199</v>
      </c>
      <c r="BG20" s="2">
        <v>78</v>
      </c>
      <c r="BH20" s="2">
        <v>804</v>
      </c>
      <c r="BI20" s="2">
        <v>129</v>
      </c>
      <c r="BJ20" s="2">
        <v>11</v>
      </c>
      <c r="BK20" s="2">
        <v>16</v>
      </c>
      <c r="BL20" s="2">
        <v>32.700000000000003</v>
      </c>
      <c r="BM20" s="2">
        <v>4.5</v>
      </c>
      <c r="BN20" s="2">
        <v>0</v>
      </c>
      <c r="BO20" s="2">
        <v>0.2</v>
      </c>
      <c r="BP20" s="2">
        <v>4.0199999999999996</v>
      </c>
      <c r="BQ20" s="2">
        <v>1.06</v>
      </c>
    </row>
    <row r="21" spans="1:69" x14ac:dyDescent="0.2">
      <c r="A21">
        <v>20</v>
      </c>
      <c r="B21">
        <v>172</v>
      </c>
      <c r="C21" t="s">
        <v>2</v>
      </c>
      <c r="D21" t="s">
        <v>7</v>
      </c>
      <c r="E21">
        <v>1</v>
      </c>
      <c r="F21" s="2">
        <v>52.690587077730342</v>
      </c>
      <c r="G21" s="2">
        <v>91.032843450479191</v>
      </c>
      <c r="H21" s="2">
        <v>96.433715972449875</v>
      </c>
      <c r="I21" s="2">
        <v>127.83335463258788</v>
      </c>
      <c r="J21" s="2">
        <v>149.12430305018023</v>
      </c>
      <c r="K21" s="2">
        <v>218.86619808306708</v>
      </c>
      <c r="L21" s="2">
        <v>38.342256372748849</v>
      </c>
      <c r="M21" s="2">
        <v>69.741895032886845</v>
      </c>
      <c r="N21" s="2">
        <v>0.4713</v>
      </c>
      <c r="O21" s="2">
        <v>5.2531999999999996</v>
      </c>
      <c r="P21" s="2">
        <v>0.57155555555555559</v>
      </c>
      <c r="Q21" s="2">
        <v>4.7498000000000005</v>
      </c>
      <c r="R21" s="2">
        <v>8.1625999999999994</v>
      </c>
      <c r="S21" s="2">
        <v>8.2355555555555569</v>
      </c>
      <c r="T21" s="2">
        <v>14.7034</v>
      </c>
      <c r="U21" s="2">
        <v>13.341400000000002</v>
      </c>
      <c r="V21" s="2">
        <v>12.696888888888889</v>
      </c>
      <c r="W21" s="2">
        <v>10.64608888888889</v>
      </c>
      <c r="X21" s="2">
        <v>8.8071111111111122</v>
      </c>
      <c r="Y21" s="2">
        <v>117.79</v>
      </c>
      <c r="Z21" s="2">
        <v>37.68</v>
      </c>
      <c r="AA21" s="2">
        <v>41.71</v>
      </c>
      <c r="AB21" s="2">
        <v>35.18</v>
      </c>
      <c r="AC21" s="2">
        <v>2.7</v>
      </c>
      <c r="AD21" s="2">
        <v>20.37</v>
      </c>
      <c r="AE21" s="2">
        <v>52.78</v>
      </c>
      <c r="AF21" s="2">
        <v>73.2</v>
      </c>
      <c r="AG21" s="2">
        <v>59.6</v>
      </c>
      <c r="AH21" s="2">
        <v>13.5</v>
      </c>
      <c r="AI21" s="2">
        <v>39.71</v>
      </c>
      <c r="AJ21" s="2">
        <v>4.93</v>
      </c>
      <c r="AK21" s="2">
        <v>1.1870000000000001</v>
      </c>
      <c r="AL21" s="2">
        <v>0.83</v>
      </c>
      <c r="AM21" s="2">
        <v>0.92100000000000004</v>
      </c>
      <c r="AN21" s="2">
        <v>0.69899999999999995</v>
      </c>
      <c r="AO21" s="2">
        <v>0.98499999999999999</v>
      </c>
      <c r="AP21" s="2">
        <v>0.54100000000000004</v>
      </c>
      <c r="AQ21" s="2">
        <v>1.4910000000000001</v>
      </c>
      <c r="AR21" s="2">
        <v>0.32100000000000001</v>
      </c>
      <c r="AS21" s="2">
        <v>4.54</v>
      </c>
      <c r="AT21" s="2">
        <v>62.8</v>
      </c>
      <c r="AU21" s="2">
        <v>1.554</v>
      </c>
      <c r="AV21" s="2">
        <v>12.39</v>
      </c>
      <c r="AW21" s="2">
        <v>9.1999999999999998E-2</v>
      </c>
      <c r="AX21" s="2">
        <v>6.5000000000000002E-2</v>
      </c>
      <c r="AY21" s="2">
        <v>0.84299999999999997</v>
      </c>
      <c r="AZ21" s="2">
        <v>0.09</v>
      </c>
      <c r="BA21" s="2">
        <v>1.23</v>
      </c>
      <c r="BB21" s="2">
        <v>3.3</v>
      </c>
      <c r="BC21" s="2">
        <v>87</v>
      </c>
      <c r="BD21" s="2">
        <v>0.4</v>
      </c>
      <c r="BE21" s="2">
        <v>6.2</v>
      </c>
      <c r="BF21" s="2">
        <v>39</v>
      </c>
      <c r="BG21" s="2">
        <v>122</v>
      </c>
      <c r="BH21" s="2">
        <v>380</v>
      </c>
      <c r="BI21" s="2">
        <v>84</v>
      </c>
      <c r="BJ21" s="2">
        <v>9</v>
      </c>
      <c r="BK21" s="2">
        <v>7.5</v>
      </c>
      <c r="BL21" s="2">
        <v>3.6</v>
      </c>
      <c r="BM21" s="2">
        <v>0.7</v>
      </c>
      <c r="BN21" s="2">
        <v>0</v>
      </c>
      <c r="BO21" s="2">
        <v>0.31</v>
      </c>
      <c r="BP21" s="2">
        <v>1.9</v>
      </c>
      <c r="BQ21" s="2">
        <v>0.69</v>
      </c>
    </row>
    <row r="22" spans="1:69" x14ac:dyDescent="0.2">
      <c r="A22">
        <v>20</v>
      </c>
      <c r="B22">
        <v>192</v>
      </c>
      <c r="C22" t="s">
        <v>2</v>
      </c>
      <c r="D22" t="s">
        <v>0</v>
      </c>
      <c r="E22">
        <v>2</v>
      </c>
      <c r="F22" s="2">
        <v>128.84295302013408</v>
      </c>
      <c r="G22" s="2">
        <v>156.71647765176775</v>
      </c>
      <c r="H22" s="2">
        <v>212.47785234899328</v>
      </c>
      <c r="I22" s="2">
        <v>226.48058705803859</v>
      </c>
      <c r="J22" s="2">
        <v>341.32080536912736</v>
      </c>
      <c r="K22" s="2">
        <v>383.19706470980634</v>
      </c>
      <c r="L22" s="2">
        <v>27.873524631633671</v>
      </c>
      <c r="M22" s="2">
        <v>41.876259340678985</v>
      </c>
      <c r="N22" s="2">
        <v>0.8165</v>
      </c>
      <c r="O22" s="2">
        <v>11.581999999999999</v>
      </c>
      <c r="P22" s="2">
        <v>0.77800000000000002</v>
      </c>
      <c r="Q22" s="2">
        <v>3.5617999999999999</v>
      </c>
      <c r="R22" s="2">
        <v>4.5758000000000001</v>
      </c>
      <c r="S22" s="2">
        <v>8.5220000000000002</v>
      </c>
      <c r="T22" s="2">
        <v>26.964999999999996</v>
      </c>
      <c r="U22" s="2">
        <v>23.589399999999998</v>
      </c>
      <c r="V22" s="2">
        <v>18.865199999999998</v>
      </c>
      <c r="W22" s="2">
        <v>21.226799999999994</v>
      </c>
      <c r="X22" s="2">
        <v>9.3000000000000007</v>
      </c>
      <c r="Y22" s="2">
        <v>111.3</v>
      </c>
      <c r="Z22" s="2">
        <v>7.62</v>
      </c>
      <c r="AA22" s="2">
        <v>53.85</v>
      </c>
      <c r="AB22" s="2">
        <v>46.4</v>
      </c>
      <c r="AC22" s="2">
        <v>3.03</v>
      </c>
      <c r="AD22" s="2">
        <v>9.44</v>
      </c>
      <c r="AE22" s="2">
        <v>61.82</v>
      </c>
      <c r="AF22" s="2">
        <v>71.3</v>
      </c>
      <c r="AG22" s="2">
        <v>56.4</v>
      </c>
      <c r="AH22" s="2">
        <v>14.9</v>
      </c>
      <c r="AI22" s="2">
        <v>36.92</v>
      </c>
      <c r="AJ22" s="2">
        <v>3.12</v>
      </c>
      <c r="AK22" s="2">
        <v>0.56399999999999995</v>
      </c>
      <c r="AL22" s="2">
        <v>0.64200000000000002</v>
      </c>
      <c r="AM22" s="2">
        <v>1.159</v>
      </c>
      <c r="AN22" s="2">
        <v>1.1399999999999999</v>
      </c>
      <c r="AO22" s="2">
        <v>0.36199999999999999</v>
      </c>
      <c r="AP22" s="2">
        <v>1.2390000000000001</v>
      </c>
      <c r="AQ22" s="2">
        <v>1.409</v>
      </c>
      <c r="AR22" s="2">
        <v>0.74199999999999999</v>
      </c>
      <c r="AS22" s="2">
        <v>11.31</v>
      </c>
      <c r="AT22" s="2">
        <v>117.8</v>
      </c>
      <c r="AU22" s="2">
        <v>1.3839999999999999</v>
      </c>
      <c r="AV22" s="2">
        <v>0.22</v>
      </c>
      <c r="AW22" s="2">
        <v>3.3000000000000002E-2</v>
      </c>
      <c r="AX22" s="2">
        <v>6.2E-2</v>
      </c>
      <c r="AY22" s="2">
        <v>0.90500000000000003</v>
      </c>
      <c r="AZ22" s="2">
        <v>0.36</v>
      </c>
      <c r="BA22" s="2">
        <v>1.27</v>
      </c>
      <c r="BB22" s="2">
        <v>5.5</v>
      </c>
      <c r="BC22" s="2">
        <v>80</v>
      </c>
      <c r="BD22" s="2">
        <v>1.1000000000000001</v>
      </c>
      <c r="BE22" s="2">
        <v>5.8</v>
      </c>
      <c r="BF22" s="2">
        <v>321</v>
      </c>
      <c r="BG22" s="2">
        <v>53</v>
      </c>
      <c r="BH22" s="2">
        <v>710</v>
      </c>
      <c r="BI22" s="2">
        <v>84</v>
      </c>
      <c r="BJ22" s="2">
        <v>9</v>
      </c>
      <c r="BK22" s="2">
        <v>22</v>
      </c>
      <c r="BL22" s="2">
        <v>65.400000000000006</v>
      </c>
      <c r="BM22" s="2">
        <v>7.6</v>
      </c>
      <c r="BN22" s="2">
        <v>0</v>
      </c>
      <c r="BO22" s="2">
        <v>0.14000000000000001</v>
      </c>
      <c r="BP22" s="2">
        <v>3.55</v>
      </c>
      <c r="BQ22" s="2">
        <v>0.69</v>
      </c>
    </row>
    <row r="23" spans="1:69" x14ac:dyDescent="0.2">
      <c r="A23">
        <v>20</v>
      </c>
      <c r="B23">
        <v>249</v>
      </c>
      <c r="C23" t="s">
        <v>2</v>
      </c>
      <c r="D23" t="s">
        <v>5</v>
      </c>
      <c r="E23">
        <v>2</v>
      </c>
      <c r="F23" s="2">
        <v>98.615039999999908</v>
      </c>
      <c r="G23" s="2">
        <v>116.9855559801299</v>
      </c>
      <c r="H23" s="2">
        <v>719.4047999999998</v>
      </c>
      <c r="I23" s="2">
        <v>823.53198318685509</v>
      </c>
      <c r="J23" s="2">
        <v>818.0198399999997</v>
      </c>
      <c r="K23" s="2">
        <v>940.51753916698499</v>
      </c>
      <c r="L23" s="2">
        <v>18.370515980129994</v>
      </c>
      <c r="M23" s="2">
        <v>122.49769916698529</v>
      </c>
      <c r="N23" s="2">
        <v>2.3151000000000002</v>
      </c>
      <c r="O23" s="2">
        <v>59.457999999999998</v>
      </c>
      <c r="P23" s="2">
        <v>0.71579999999999999</v>
      </c>
      <c r="Q23" s="2">
        <v>5.1434000000000006</v>
      </c>
      <c r="R23" s="2">
        <v>5.6162000000000001</v>
      </c>
      <c r="S23" s="2">
        <v>34.733600000000003</v>
      </c>
      <c r="T23" s="2">
        <v>49.801000000000002</v>
      </c>
      <c r="U23" s="2">
        <v>53.790999999999997</v>
      </c>
      <c r="V23" s="2">
        <v>23.957799999999992</v>
      </c>
      <c r="W23" s="2">
        <v>19.494999999999997</v>
      </c>
      <c r="X23" s="2">
        <v>35.449400000000004</v>
      </c>
      <c r="Y23" s="2">
        <v>80.33</v>
      </c>
      <c r="Z23" s="2">
        <v>20.67</v>
      </c>
      <c r="AA23" s="2">
        <v>32.450000000000003</v>
      </c>
      <c r="AB23" s="2">
        <v>25.29</v>
      </c>
      <c r="AC23" s="2">
        <v>1.62</v>
      </c>
      <c r="AD23" s="2">
        <v>22.89</v>
      </c>
      <c r="AE23" s="2">
        <v>34.369999999999997</v>
      </c>
      <c r="AF23" s="2">
        <v>57.3</v>
      </c>
      <c r="AG23" s="2">
        <v>40.700000000000003</v>
      </c>
      <c r="AH23" s="2">
        <v>16.600000000000001</v>
      </c>
      <c r="AI23" s="2">
        <v>20.84</v>
      </c>
      <c r="AJ23" s="2">
        <v>2.23</v>
      </c>
      <c r="AK23" s="2">
        <v>1.0409999999999999</v>
      </c>
      <c r="AL23" s="2">
        <v>1.127</v>
      </c>
      <c r="AM23" s="2">
        <v>1.0780000000000001</v>
      </c>
      <c r="AN23" s="2">
        <v>1.083</v>
      </c>
      <c r="AO23" s="2">
        <v>1.173</v>
      </c>
      <c r="AP23" s="2">
        <v>1.107</v>
      </c>
      <c r="AQ23" s="2">
        <v>1.0169999999999999</v>
      </c>
      <c r="AR23" s="2">
        <v>1.68</v>
      </c>
      <c r="AS23" s="2">
        <v>47.78</v>
      </c>
      <c r="AT23" s="2">
        <v>263.5</v>
      </c>
      <c r="AU23" s="2">
        <v>0.78300000000000003</v>
      </c>
      <c r="AV23" s="2">
        <v>9.61</v>
      </c>
      <c r="AW23" s="2">
        <v>0.114</v>
      </c>
      <c r="AX23" s="2">
        <v>6.8000000000000005E-2</v>
      </c>
      <c r="AY23" s="2">
        <v>0.81799999999999995</v>
      </c>
      <c r="AZ23" s="2">
        <v>0.66</v>
      </c>
      <c r="BA23" s="2">
        <v>0.68</v>
      </c>
      <c r="BB23" s="2">
        <v>7.9</v>
      </c>
      <c r="BC23" s="2">
        <v>37</v>
      </c>
      <c r="BD23" s="2">
        <v>5</v>
      </c>
      <c r="BE23" s="2">
        <v>3.9</v>
      </c>
      <c r="BF23" s="2">
        <v>26</v>
      </c>
      <c r="BG23" s="2">
        <v>79</v>
      </c>
      <c r="BH23" s="2">
        <v>349</v>
      </c>
      <c r="BI23" s="2">
        <v>117</v>
      </c>
      <c r="BJ23" s="2">
        <v>14</v>
      </c>
      <c r="BK23" s="2">
        <v>1.6</v>
      </c>
      <c r="BL23" s="2">
        <v>3.7</v>
      </c>
      <c r="BM23" s="2">
        <v>0.5</v>
      </c>
      <c r="BN23" s="2">
        <v>0.1</v>
      </c>
      <c r="BO23" s="2">
        <v>0.2</v>
      </c>
      <c r="BP23" s="2">
        <v>1.75</v>
      </c>
      <c r="BQ23" s="2">
        <v>0.96</v>
      </c>
    </row>
    <row r="24" spans="1:69" x14ac:dyDescent="0.2">
      <c r="A24">
        <v>20</v>
      </c>
      <c r="B24">
        <v>295</v>
      </c>
      <c r="C24" t="s">
        <v>2</v>
      </c>
      <c r="D24" t="s">
        <v>5</v>
      </c>
      <c r="E24">
        <v>3</v>
      </c>
      <c r="F24" s="2">
        <v>578.90699088145891</v>
      </c>
      <c r="G24" s="2">
        <v>536.93759011328507</v>
      </c>
      <c r="H24" s="2">
        <v>853.77264437689962</v>
      </c>
      <c r="I24" s="2">
        <v>590.00700308959824</v>
      </c>
      <c r="J24" s="2">
        <v>1432.6796352583585</v>
      </c>
      <c r="K24" s="2">
        <v>1126.9445932028834</v>
      </c>
      <c r="L24" s="2">
        <v>-41.969400768173841</v>
      </c>
      <c r="M24" s="2">
        <v>-305.73504205547511</v>
      </c>
      <c r="N24" s="2">
        <v>2.7980999999999998</v>
      </c>
      <c r="O24" s="2">
        <v>37.888999999999996</v>
      </c>
      <c r="P24" s="2">
        <v>0.90480000000000005</v>
      </c>
      <c r="Q24" s="2">
        <v>8.0041999999999991</v>
      </c>
      <c r="R24" s="2">
        <v>9.7141999999999999</v>
      </c>
      <c r="S24" s="2">
        <v>41.248199999999997</v>
      </c>
      <c r="T24" s="2">
        <v>183.9298</v>
      </c>
      <c r="U24" s="2">
        <v>145.5574</v>
      </c>
      <c r="V24" s="2">
        <v>113.11860000000001</v>
      </c>
      <c r="W24" s="2">
        <v>149.78100000000001</v>
      </c>
      <c r="X24" s="2">
        <v>42.152999999999999</v>
      </c>
      <c r="Y24" s="2">
        <v>83.27</v>
      </c>
      <c r="Z24" s="2">
        <v>42.47</v>
      </c>
      <c r="AA24" s="2">
        <v>26.68</v>
      </c>
      <c r="AB24" s="2">
        <v>11.48</v>
      </c>
      <c r="AC24" s="2">
        <v>2.34</v>
      </c>
      <c r="AD24" s="2">
        <v>30.68</v>
      </c>
      <c r="AE24" s="2">
        <v>31.99</v>
      </c>
      <c r="AF24" s="2">
        <v>62.7</v>
      </c>
      <c r="AG24" s="2">
        <v>42.2</v>
      </c>
      <c r="AH24" s="2">
        <v>20.5</v>
      </c>
      <c r="AI24" s="2">
        <v>16.39</v>
      </c>
      <c r="AJ24" s="2">
        <v>4.21</v>
      </c>
      <c r="AK24" s="2">
        <v>1.6879999999999999</v>
      </c>
      <c r="AL24" s="2">
        <v>1.331</v>
      </c>
      <c r="AM24" s="2">
        <v>0.90600000000000003</v>
      </c>
      <c r="AN24" s="2">
        <v>0.78800000000000003</v>
      </c>
      <c r="AO24" s="2">
        <v>2.2469999999999999</v>
      </c>
      <c r="AP24" s="2">
        <v>0.72199999999999998</v>
      </c>
      <c r="AQ24" s="2">
        <v>1.054</v>
      </c>
      <c r="AR24" s="2">
        <v>2.4500000000000002</v>
      </c>
      <c r="AS24" s="2">
        <v>37.72</v>
      </c>
      <c r="AT24" s="2">
        <v>441.7</v>
      </c>
      <c r="AU24" s="2">
        <v>1.083</v>
      </c>
      <c r="AV24" s="2">
        <v>0.22</v>
      </c>
      <c r="AW24" s="2">
        <v>0.29099999999999998</v>
      </c>
      <c r="AX24" s="2">
        <v>0.27200000000000002</v>
      </c>
      <c r="AY24" s="2">
        <v>0.437</v>
      </c>
      <c r="AZ24" s="2">
        <v>0.81</v>
      </c>
      <c r="BA24" s="2">
        <v>0.84</v>
      </c>
      <c r="BB24" s="2">
        <v>9.3000000000000007</v>
      </c>
      <c r="BC24" s="2">
        <v>82</v>
      </c>
      <c r="BD24" s="2">
        <v>1.6</v>
      </c>
      <c r="BE24" s="2">
        <v>5.6</v>
      </c>
      <c r="BF24" s="2">
        <v>98</v>
      </c>
      <c r="BG24" s="2">
        <v>159</v>
      </c>
      <c r="BH24" s="2">
        <v>1099</v>
      </c>
      <c r="BI24" s="2">
        <v>216</v>
      </c>
      <c r="BJ24" s="2">
        <v>12</v>
      </c>
      <c r="BK24" s="2">
        <v>24</v>
      </c>
      <c r="BL24" s="2">
        <v>6.4</v>
      </c>
      <c r="BM24" s="2">
        <v>1.5</v>
      </c>
      <c r="BN24" s="2">
        <v>0</v>
      </c>
      <c r="BO24" s="2">
        <v>0.41</v>
      </c>
      <c r="BP24" s="2">
        <v>5.5</v>
      </c>
      <c r="BQ24" s="2">
        <v>1.78</v>
      </c>
    </row>
    <row r="25" spans="1:69" x14ac:dyDescent="0.2">
      <c r="A25">
        <v>20</v>
      </c>
      <c r="B25">
        <v>308</v>
      </c>
      <c r="C25" t="s">
        <v>2</v>
      </c>
      <c r="D25" t="s">
        <v>0</v>
      </c>
      <c r="E25">
        <v>4</v>
      </c>
      <c r="F25" s="2">
        <v>117.69494505494491</v>
      </c>
      <c r="G25" s="2">
        <v>131.08982035928133</v>
      </c>
      <c r="H25" s="2">
        <v>218.734945054945</v>
      </c>
      <c r="I25" s="2">
        <v>185.54251497005987</v>
      </c>
      <c r="J25" s="2">
        <v>336.42989010988993</v>
      </c>
      <c r="K25" s="2">
        <v>316.63233532934123</v>
      </c>
      <c r="L25" s="2">
        <v>13.394875304336423</v>
      </c>
      <c r="M25" s="2">
        <v>-19.797554780548694</v>
      </c>
      <c r="N25" s="2">
        <v>0.7944</v>
      </c>
      <c r="O25" s="2">
        <v>10.382</v>
      </c>
      <c r="P25" s="2">
        <v>0.81599999999999995</v>
      </c>
      <c r="Q25" s="2">
        <v>4.4522000000000004</v>
      </c>
      <c r="R25" s="2">
        <v>6.3169999999999993</v>
      </c>
      <c r="S25" s="2">
        <v>5.1216000000000008</v>
      </c>
      <c r="T25" s="2">
        <v>15.166600000000001</v>
      </c>
      <c r="U25" s="2">
        <v>12.321399999999999</v>
      </c>
      <c r="V25" s="2">
        <v>12.700799999999997</v>
      </c>
      <c r="W25" s="2">
        <v>13.6812</v>
      </c>
      <c r="X25" s="2">
        <v>5.9376000000000007</v>
      </c>
      <c r="Y25" s="2">
        <v>111.89</v>
      </c>
      <c r="Z25" s="2">
        <v>6.12</v>
      </c>
      <c r="AA25" s="2">
        <v>55.19</v>
      </c>
      <c r="AB25" s="2">
        <v>47.42</v>
      </c>
      <c r="AC25" s="2">
        <v>2.64</v>
      </c>
      <c r="AD25" s="2">
        <v>8.1</v>
      </c>
      <c r="AE25" s="2">
        <v>63.89</v>
      </c>
      <c r="AF25" s="2">
        <v>72</v>
      </c>
      <c r="AG25" s="2">
        <v>56.7</v>
      </c>
      <c r="AH25" s="2">
        <v>15.3</v>
      </c>
      <c r="AI25" s="2">
        <v>36.979999999999997</v>
      </c>
      <c r="AJ25" s="2">
        <v>2.92</v>
      </c>
      <c r="AK25" s="2">
        <v>0.53100000000000003</v>
      </c>
      <c r="AL25" s="2">
        <v>0.61599999999999999</v>
      </c>
      <c r="AM25" s="2">
        <v>1.1739999999999999</v>
      </c>
      <c r="AN25" s="2">
        <v>1.161</v>
      </c>
      <c r="AO25" s="2">
        <v>0.32700000000000001</v>
      </c>
      <c r="AP25" s="2">
        <v>1.3240000000000001</v>
      </c>
      <c r="AQ25" s="2">
        <v>1.4159999999999999</v>
      </c>
      <c r="AR25" s="2">
        <v>0.88200000000000001</v>
      </c>
      <c r="AS25" s="2">
        <v>12.42</v>
      </c>
      <c r="AT25" s="2">
        <v>110.5</v>
      </c>
      <c r="AU25" s="2">
        <v>1.3660000000000001</v>
      </c>
      <c r="AV25" s="2">
        <v>1.1000000000000001</v>
      </c>
      <c r="AW25" s="2">
        <v>4.4999999999999998E-2</v>
      </c>
      <c r="AX25" s="2">
        <v>0.05</v>
      </c>
      <c r="AY25" s="2">
        <v>0.90600000000000003</v>
      </c>
      <c r="AZ25" s="2">
        <v>0.27</v>
      </c>
      <c r="BA25" s="2">
        <v>1.27</v>
      </c>
      <c r="BB25" s="2">
        <v>5.6</v>
      </c>
      <c r="BC25" s="2">
        <v>93</v>
      </c>
      <c r="BD25" s="2">
        <v>0.4</v>
      </c>
      <c r="BE25" s="2">
        <v>6.5</v>
      </c>
      <c r="BF25" s="2">
        <v>325</v>
      </c>
      <c r="BG25" s="2">
        <v>45</v>
      </c>
      <c r="BH25" s="2">
        <v>812</v>
      </c>
      <c r="BI25" s="2">
        <v>121</v>
      </c>
      <c r="BJ25" s="2">
        <v>8</v>
      </c>
      <c r="BK25" s="2">
        <v>19.600000000000001</v>
      </c>
      <c r="BL25" s="2">
        <v>59.4</v>
      </c>
      <c r="BM25" s="2">
        <v>6.2</v>
      </c>
      <c r="BN25" s="2">
        <v>0</v>
      </c>
      <c r="BO25" s="2">
        <v>0.12</v>
      </c>
      <c r="BP25" s="2">
        <v>4.0599999999999996</v>
      </c>
      <c r="BQ25" s="2">
        <v>1</v>
      </c>
    </row>
    <row r="26" spans="1:69" x14ac:dyDescent="0.2">
      <c r="A26">
        <v>20</v>
      </c>
      <c r="B26">
        <v>4</v>
      </c>
      <c r="C26" t="s">
        <v>16</v>
      </c>
      <c r="D26" t="s">
        <v>7</v>
      </c>
      <c r="E26">
        <v>2</v>
      </c>
      <c r="F26" s="2" t="s">
        <v>14</v>
      </c>
      <c r="G26" s="2">
        <v>154.14306569343077</v>
      </c>
      <c r="H26" s="2">
        <v>179.68141342756198</v>
      </c>
      <c r="I26" s="2">
        <v>254.19843065693448</v>
      </c>
      <c r="J26" s="2" t="s">
        <v>14</v>
      </c>
      <c r="K26" s="2">
        <v>408.34149635036522</v>
      </c>
      <c r="L26" s="2" t="s">
        <v>14</v>
      </c>
      <c r="M26" s="2" t="s">
        <v>14</v>
      </c>
      <c r="N26" s="2">
        <v>0.77410000000000001</v>
      </c>
      <c r="O26" s="2">
        <v>9.7496000000000009</v>
      </c>
      <c r="P26" s="2" t="s">
        <v>14</v>
      </c>
      <c r="Q26" s="2">
        <v>6.2786</v>
      </c>
      <c r="R26" s="2">
        <v>16.793800000000001</v>
      </c>
      <c r="S26" s="2" t="s">
        <v>14</v>
      </c>
      <c r="T26" s="2">
        <v>26.925999999999998</v>
      </c>
      <c r="U26" s="2">
        <v>20.0428</v>
      </c>
      <c r="V26" s="2" t="s">
        <v>14</v>
      </c>
      <c r="W26" s="2" t="s">
        <v>14</v>
      </c>
      <c r="X26" s="2" t="s">
        <v>14</v>
      </c>
      <c r="Y26" s="2">
        <v>105.83</v>
      </c>
      <c r="Z26" s="2">
        <v>40.64</v>
      </c>
      <c r="AA26" s="2">
        <v>33.17</v>
      </c>
      <c r="AB26" s="2">
        <v>21.31</v>
      </c>
      <c r="AC26" s="2">
        <v>10.16</v>
      </c>
      <c r="AD26" s="2">
        <v>14.1</v>
      </c>
      <c r="AE26" s="2">
        <v>36.32</v>
      </c>
      <c r="AF26" s="2">
        <v>50.4</v>
      </c>
      <c r="AG26" s="2">
        <v>53.6</v>
      </c>
      <c r="AH26" s="2">
        <v>-3.2</v>
      </c>
      <c r="AI26" s="2">
        <v>40.18</v>
      </c>
      <c r="AJ26" s="2">
        <v>15.23</v>
      </c>
      <c r="AK26" s="2">
        <v>1.333</v>
      </c>
      <c r="AL26" s="2">
        <v>0.65900000000000003</v>
      </c>
      <c r="AM26" s="2">
        <v>0.68300000000000005</v>
      </c>
      <c r="AN26" s="2">
        <v>0.49399999999999999</v>
      </c>
      <c r="AO26" s="2">
        <v>0.879</v>
      </c>
      <c r="AP26" s="2">
        <v>0.34699999999999998</v>
      </c>
      <c r="AQ26" s="2">
        <v>1.34</v>
      </c>
      <c r="AR26" s="2">
        <v>0.91200000000000003</v>
      </c>
      <c r="AS26" s="2">
        <v>11.19</v>
      </c>
      <c r="AT26" s="2">
        <v>91.4</v>
      </c>
      <c r="AU26" s="2">
        <v>1.58</v>
      </c>
      <c r="AV26" s="2">
        <v>1.08</v>
      </c>
      <c r="AW26" s="2">
        <v>0.113</v>
      </c>
      <c r="AX26" s="2">
        <v>0.25</v>
      </c>
      <c r="AY26" s="2">
        <v>0.63800000000000001</v>
      </c>
      <c r="AZ26" s="2">
        <v>0.32</v>
      </c>
      <c r="BA26" s="2">
        <v>1.2</v>
      </c>
      <c r="BB26" s="2">
        <v>7.8</v>
      </c>
      <c r="BC26" s="2">
        <v>91</v>
      </c>
      <c r="BD26" s="2">
        <v>0.7</v>
      </c>
      <c r="BE26" s="2">
        <v>6.5</v>
      </c>
      <c r="BF26" s="2">
        <v>371</v>
      </c>
      <c r="BG26" s="2">
        <v>126</v>
      </c>
      <c r="BH26" s="2">
        <v>1063</v>
      </c>
      <c r="BI26" s="2">
        <v>174</v>
      </c>
      <c r="BJ26" s="2">
        <v>13</v>
      </c>
      <c r="BK26" s="2">
        <v>81.3</v>
      </c>
      <c r="BL26" s="2">
        <v>12.2</v>
      </c>
      <c r="BM26" s="2">
        <v>4.8</v>
      </c>
      <c r="BN26" s="2">
        <v>0</v>
      </c>
      <c r="BO26" s="2">
        <v>0.32</v>
      </c>
      <c r="BP26" s="2">
        <v>5.32</v>
      </c>
      <c r="BQ26" s="2">
        <v>1.43</v>
      </c>
    </row>
    <row r="27" spans="1:69" x14ac:dyDescent="0.2">
      <c r="A27">
        <v>20</v>
      </c>
      <c r="B27">
        <v>14</v>
      </c>
      <c r="C27" t="s">
        <v>16</v>
      </c>
      <c r="D27" t="s">
        <v>7</v>
      </c>
      <c r="E27">
        <v>4</v>
      </c>
      <c r="F27" s="2">
        <v>168.28971193415649</v>
      </c>
      <c r="G27" s="2">
        <v>152.11887550200814</v>
      </c>
      <c r="H27" s="2">
        <v>592.73843621399192</v>
      </c>
      <c r="I27" s="2">
        <v>243.25558232931732</v>
      </c>
      <c r="J27" s="2">
        <v>761.02814814814838</v>
      </c>
      <c r="K27" s="2">
        <v>395.37445783132546</v>
      </c>
      <c r="L27" s="2">
        <v>-16.170836432148349</v>
      </c>
      <c r="M27" s="2">
        <v>-365.65369031682292</v>
      </c>
      <c r="N27" s="2">
        <v>0.73980000000000001</v>
      </c>
      <c r="O27" s="2">
        <v>8.322000000000001</v>
      </c>
      <c r="P27" s="2">
        <v>0.48160000000000003</v>
      </c>
      <c r="Q27" s="2">
        <v>14.197800000000001</v>
      </c>
      <c r="R27" s="2">
        <v>8.9466000000000001</v>
      </c>
      <c r="S27" s="2">
        <v>11.988999999999999</v>
      </c>
      <c r="T27" s="2">
        <v>42.663600000000002</v>
      </c>
      <c r="U27" s="2">
        <v>46.254800000000003</v>
      </c>
      <c r="V27" s="2">
        <v>42.730800000000009</v>
      </c>
      <c r="W27" s="2">
        <v>44.390800000000006</v>
      </c>
      <c r="X27" s="2">
        <v>12.470599999999999</v>
      </c>
      <c r="Y27" s="2">
        <v>101.86</v>
      </c>
      <c r="Z27" s="2">
        <v>45.83</v>
      </c>
      <c r="AA27" s="2">
        <v>33.200000000000003</v>
      </c>
      <c r="AB27" s="2">
        <v>15.27</v>
      </c>
      <c r="AC27" s="2">
        <v>7.07</v>
      </c>
      <c r="AD27" s="2">
        <v>17.29</v>
      </c>
      <c r="AE27" s="2">
        <v>44.58</v>
      </c>
      <c r="AF27" s="2">
        <v>61.9</v>
      </c>
      <c r="AG27" s="2">
        <v>51.6</v>
      </c>
      <c r="AH27" s="2">
        <v>10.3</v>
      </c>
      <c r="AI27" s="2">
        <v>29.21</v>
      </c>
      <c r="AJ27" s="2">
        <v>10.78</v>
      </c>
      <c r="AK27" s="2">
        <v>1.522</v>
      </c>
      <c r="AL27" s="2">
        <v>0.80800000000000005</v>
      </c>
      <c r="AM27" s="2">
        <v>0.78300000000000003</v>
      </c>
      <c r="AN27" s="2">
        <v>0.53100000000000003</v>
      </c>
      <c r="AO27" s="2">
        <v>1.23</v>
      </c>
      <c r="AP27" s="2">
        <v>0.377</v>
      </c>
      <c r="AQ27" s="2">
        <v>1.2889999999999999</v>
      </c>
      <c r="AR27" s="2">
        <v>0.96199999999999997</v>
      </c>
      <c r="AS27" s="2">
        <v>11.21</v>
      </c>
      <c r="AT27" s="2">
        <v>154.6</v>
      </c>
      <c r="AU27" s="2">
        <v>1.512</v>
      </c>
      <c r="AV27" s="2">
        <v>1.82</v>
      </c>
      <c r="AW27" s="2">
        <v>0.13100000000000001</v>
      </c>
      <c r="AX27" s="2">
        <v>0.27400000000000002</v>
      </c>
      <c r="AY27" s="2">
        <v>0.59499999999999997</v>
      </c>
      <c r="AZ27" s="2">
        <v>0.27</v>
      </c>
      <c r="BA27" s="2">
        <v>1.1299999999999999</v>
      </c>
      <c r="BB27" s="2">
        <v>5.2</v>
      </c>
      <c r="BC27" s="2">
        <v>77</v>
      </c>
      <c r="BD27" s="2">
        <v>1.2</v>
      </c>
      <c r="BE27" s="2">
        <v>5.8</v>
      </c>
      <c r="BF27" s="2">
        <v>226</v>
      </c>
      <c r="BG27" s="2">
        <v>171</v>
      </c>
      <c r="BH27" s="2">
        <v>570</v>
      </c>
      <c r="BI27" s="2">
        <v>89</v>
      </c>
      <c r="BJ27" s="2">
        <v>13</v>
      </c>
      <c r="BK27" s="2">
        <v>68.099999999999994</v>
      </c>
      <c r="BL27" s="2">
        <v>5.9</v>
      </c>
      <c r="BM27" s="2">
        <v>1.3</v>
      </c>
      <c r="BN27" s="2">
        <v>0</v>
      </c>
      <c r="BO27" s="2">
        <v>0.44</v>
      </c>
      <c r="BP27" s="2">
        <v>2.85</v>
      </c>
      <c r="BQ27" s="2">
        <v>0.73</v>
      </c>
    </row>
    <row r="28" spans="1:69" x14ac:dyDescent="0.2">
      <c r="A28">
        <v>20</v>
      </c>
      <c r="B28">
        <v>82</v>
      </c>
      <c r="C28" t="s">
        <v>16</v>
      </c>
      <c r="D28" t="s">
        <v>0</v>
      </c>
      <c r="E28">
        <v>2</v>
      </c>
      <c r="F28" s="2">
        <v>311.66712328767136</v>
      </c>
      <c r="G28" s="2">
        <v>389.52812641083528</v>
      </c>
      <c r="H28" s="2">
        <v>545.33136986301383</v>
      </c>
      <c r="I28" s="2">
        <v>525.31817607223491</v>
      </c>
      <c r="J28" s="2">
        <v>856.99849315068514</v>
      </c>
      <c r="K28" s="2">
        <v>914.84630248307019</v>
      </c>
      <c r="L28" s="2">
        <v>77.861003123163925</v>
      </c>
      <c r="M28" s="2">
        <v>57.847809332385054</v>
      </c>
      <c r="N28" s="2">
        <v>2.0146000000000002</v>
      </c>
      <c r="O28" s="2">
        <v>22.290999999999997</v>
      </c>
      <c r="P28" s="2">
        <v>0.51759999999999995</v>
      </c>
      <c r="Q28" s="2">
        <v>17.3218</v>
      </c>
      <c r="R28" s="2">
        <v>10.297800000000001</v>
      </c>
      <c r="S28" s="2">
        <v>19.005199999999999</v>
      </c>
      <c r="T28" s="2">
        <v>85.284400000000005</v>
      </c>
      <c r="U28" s="2">
        <v>86.986000000000004</v>
      </c>
      <c r="V28" s="2">
        <v>77.760999999999996</v>
      </c>
      <c r="W28" s="2">
        <v>83.083399999999997</v>
      </c>
      <c r="X28" s="2">
        <v>19.5228</v>
      </c>
      <c r="Y28" s="2">
        <v>90.95</v>
      </c>
      <c r="Z28" s="2">
        <v>29.06</v>
      </c>
      <c r="AA28" s="2">
        <v>26.87</v>
      </c>
      <c r="AB28" s="2">
        <v>28.48</v>
      </c>
      <c r="AC28" s="2">
        <v>6</v>
      </c>
      <c r="AD28" s="2">
        <v>25.78</v>
      </c>
      <c r="AE28" s="2">
        <v>31.29</v>
      </c>
      <c r="AF28" s="2">
        <v>57.1</v>
      </c>
      <c r="AG28" s="2">
        <v>46.1</v>
      </c>
      <c r="AH28" s="2">
        <v>11</v>
      </c>
      <c r="AI28" s="2">
        <v>27.7</v>
      </c>
      <c r="AJ28" s="2">
        <v>6.18</v>
      </c>
      <c r="AK28" s="2">
        <v>1.153</v>
      </c>
      <c r="AL28" s="2">
        <v>1.0780000000000001</v>
      </c>
      <c r="AM28" s="2">
        <v>1.02</v>
      </c>
      <c r="AN28" s="2">
        <v>0.93500000000000005</v>
      </c>
      <c r="AO28" s="2">
        <v>1.2430000000000001</v>
      </c>
      <c r="AP28" s="2">
        <v>0.88700000000000001</v>
      </c>
      <c r="AQ28" s="2">
        <v>1.151</v>
      </c>
      <c r="AR28" s="2">
        <v>1.4770000000000001</v>
      </c>
      <c r="AS28" s="2">
        <v>17.68</v>
      </c>
      <c r="AT28" s="2">
        <v>250.9</v>
      </c>
      <c r="AU28" s="2">
        <v>1.3460000000000001</v>
      </c>
      <c r="AV28" s="2">
        <v>7.0000000000000007E-2</v>
      </c>
      <c r="AW28" s="2">
        <v>7.9000000000000001E-2</v>
      </c>
      <c r="AX28" s="2">
        <v>0.17100000000000001</v>
      </c>
      <c r="AY28" s="2">
        <v>0.749</v>
      </c>
      <c r="AZ28" s="2">
        <v>0.6</v>
      </c>
      <c r="BA28" s="2">
        <v>1.05</v>
      </c>
      <c r="BB28" s="2">
        <v>6</v>
      </c>
      <c r="BC28" s="2">
        <v>77</v>
      </c>
      <c r="BD28" s="2">
        <v>1.4</v>
      </c>
      <c r="BE28" s="2">
        <v>5.4</v>
      </c>
      <c r="BF28" s="2">
        <v>92</v>
      </c>
      <c r="BG28" s="2">
        <v>73</v>
      </c>
      <c r="BH28" s="2">
        <v>617</v>
      </c>
      <c r="BI28" s="2">
        <v>164</v>
      </c>
      <c r="BJ28" s="2">
        <v>13</v>
      </c>
      <c r="BK28" s="2">
        <v>11.4</v>
      </c>
      <c r="BL28" s="2">
        <v>3.4</v>
      </c>
      <c r="BM28" s="2">
        <v>0.9</v>
      </c>
      <c r="BN28" s="2">
        <v>0.1</v>
      </c>
      <c r="BO28" s="2">
        <v>0.19</v>
      </c>
      <c r="BP28" s="2">
        <v>3.09</v>
      </c>
      <c r="BQ28" s="2">
        <v>1.35</v>
      </c>
    </row>
    <row r="29" spans="1:69" x14ac:dyDescent="0.2">
      <c r="A29">
        <v>20</v>
      </c>
      <c r="B29">
        <v>85</v>
      </c>
      <c r="C29" t="s">
        <v>16</v>
      </c>
      <c r="D29" t="s">
        <v>0</v>
      </c>
      <c r="E29">
        <v>4</v>
      </c>
      <c r="F29" s="2">
        <v>192.98995290423872</v>
      </c>
      <c r="G29" s="2">
        <v>286.62920029347026</v>
      </c>
      <c r="H29" s="2">
        <v>315.76945054945065</v>
      </c>
      <c r="I29" s="2">
        <v>368.1912545854733</v>
      </c>
      <c r="J29" s="2">
        <v>508.7594034536894</v>
      </c>
      <c r="K29" s="2">
        <v>654.82045487894356</v>
      </c>
      <c r="L29" s="2">
        <v>93.639247389231542</v>
      </c>
      <c r="M29" s="2">
        <v>146.06105142525416</v>
      </c>
      <c r="N29" s="2">
        <v>1.8393999999999999</v>
      </c>
      <c r="O29" s="2">
        <v>19.493000000000002</v>
      </c>
      <c r="P29" s="2">
        <v>0.503</v>
      </c>
      <c r="Q29" s="2">
        <v>6.4458000000000002</v>
      </c>
      <c r="R29" s="2">
        <v>12.0914</v>
      </c>
      <c r="S29" s="2">
        <v>9.8105999999999991</v>
      </c>
      <c r="T29" s="2">
        <v>34.703600000000002</v>
      </c>
      <c r="U29" s="2">
        <v>32.160400000000003</v>
      </c>
      <c r="V29" s="2">
        <v>33.938200000000002</v>
      </c>
      <c r="W29" s="2">
        <v>30.835799999999999</v>
      </c>
      <c r="X29" s="2">
        <v>10.313599999999999</v>
      </c>
      <c r="Y29" s="2">
        <v>98.06</v>
      </c>
      <c r="Z29" s="2">
        <v>27.11</v>
      </c>
      <c r="AA29" s="2">
        <v>54.73</v>
      </c>
      <c r="AB29" s="2">
        <v>12.85</v>
      </c>
      <c r="AC29" s="2">
        <v>2.75</v>
      </c>
      <c r="AD29" s="2">
        <v>29.88</v>
      </c>
      <c r="AE29" s="2">
        <v>56.6</v>
      </c>
      <c r="AF29" s="2">
        <v>86.5</v>
      </c>
      <c r="AG29" s="2">
        <v>49.7</v>
      </c>
      <c r="AH29" s="2">
        <v>36.799999999999997</v>
      </c>
      <c r="AI29" s="2">
        <v>8.2200000000000006</v>
      </c>
      <c r="AJ29" s="2">
        <v>3.36</v>
      </c>
      <c r="AK29" s="2">
        <v>1.1639999999999999</v>
      </c>
      <c r="AL29" s="2">
        <v>1.25</v>
      </c>
      <c r="AM29" s="2">
        <v>1.0569999999999999</v>
      </c>
      <c r="AN29" s="2">
        <v>1.0740000000000001</v>
      </c>
      <c r="AO29" s="2">
        <v>1.456</v>
      </c>
      <c r="AP29" s="2">
        <v>1.1020000000000001</v>
      </c>
      <c r="AQ29" s="2">
        <v>1.2410000000000001</v>
      </c>
      <c r="AR29" s="2">
        <v>1.8260000000000001</v>
      </c>
      <c r="AS29" s="2">
        <v>21.14</v>
      </c>
      <c r="AT29" s="2">
        <v>201.3</v>
      </c>
      <c r="AU29" s="2">
        <v>1.264</v>
      </c>
      <c r="AV29" s="2">
        <v>1.1299999999999999</v>
      </c>
      <c r="AW29" s="2">
        <v>5.0999999999999997E-2</v>
      </c>
      <c r="AX29" s="2">
        <v>8.5000000000000006E-2</v>
      </c>
      <c r="AY29" s="2">
        <v>0.86499999999999999</v>
      </c>
      <c r="AZ29" s="2">
        <v>0.32</v>
      </c>
      <c r="BA29" s="2">
        <v>1.1499999999999999</v>
      </c>
      <c r="BB29" s="2">
        <v>7.6</v>
      </c>
      <c r="BC29" s="2">
        <v>86</v>
      </c>
      <c r="BD29" s="2">
        <v>1.1000000000000001</v>
      </c>
      <c r="BE29" s="2">
        <v>6.2</v>
      </c>
      <c r="BF29" s="2">
        <v>377</v>
      </c>
      <c r="BG29" s="2">
        <v>95</v>
      </c>
      <c r="BH29" s="2">
        <v>945</v>
      </c>
      <c r="BI29" s="2">
        <v>187</v>
      </c>
      <c r="BJ29" s="2">
        <v>11</v>
      </c>
      <c r="BK29" s="2">
        <v>19.3</v>
      </c>
      <c r="BL29" s="2">
        <v>28.4</v>
      </c>
      <c r="BM29" s="2">
        <v>5</v>
      </c>
      <c r="BN29" s="2">
        <v>0</v>
      </c>
      <c r="BO29" s="2">
        <v>0.24</v>
      </c>
      <c r="BP29" s="2">
        <v>4.7300000000000004</v>
      </c>
      <c r="BQ29" s="2">
        <v>1.54</v>
      </c>
    </row>
    <row r="30" spans="1:69" x14ac:dyDescent="0.2">
      <c r="A30">
        <v>20</v>
      </c>
      <c r="B30">
        <v>87</v>
      </c>
      <c r="C30" t="s">
        <v>16</v>
      </c>
      <c r="D30" t="s">
        <v>5</v>
      </c>
      <c r="E30">
        <v>3</v>
      </c>
      <c r="F30" s="2">
        <v>144.52832019405722</v>
      </c>
      <c r="G30" s="2">
        <v>230.70683012259207</v>
      </c>
      <c r="H30" s="2">
        <v>696.48014554275335</v>
      </c>
      <c r="I30" s="2">
        <v>786.6926795096324</v>
      </c>
      <c r="J30" s="2">
        <v>841.00846573681054</v>
      </c>
      <c r="K30" s="2">
        <v>1017.3995096322244</v>
      </c>
      <c r="L30" s="2">
        <v>86.178509928534851</v>
      </c>
      <c r="M30" s="2">
        <v>176.39104389541387</v>
      </c>
      <c r="N30" s="2">
        <v>2.7659000000000002</v>
      </c>
      <c r="O30" s="2">
        <v>37.341000000000001</v>
      </c>
      <c r="P30" s="2">
        <v>0.3926</v>
      </c>
      <c r="Q30" s="2">
        <v>0.92180000000000006</v>
      </c>
      <c r="R30" s="2">
        <v>0.81059999999999999</v>
      </c>
      <c r="S30" s="2">
        <v>23.003</v>
      </c>
      <c r="T30" s="2">
        <v>102.99000000000001</v>
      </c>
      <c r="U30" s="2">
        <v>118.13560000000001</v>
      </c>
      <c r="V30" s="2">
        <v>95.550600000000003</v>
      </c>
      <c r="W30" s="2">
        <v>80.516200000000012</v>
      </c>
      <c r="X30" s="2">
        <v>23.395600000000002</v>
      </c>
      <c r="Y30" s="2">
        <v>79.48</v>
      </c>
      <c r="Z30" s="2">
        <v>32.32</v>
      </c>
      <c r="AA30" s="2">
        <v>21.38</v>
      </c>
      <c r="AB30" s="2">
        <v>20.54</v>
      </c>
      <c r="AC30" s="2">
        <v>4.6100000000000003</v>
      </c>
      <c r="AD30" s="2">
        <v>24.67</v>
      </c>
      <c r="AE30" s="2">
        <v>26.55</v>
      </c>
      <c r="AF30" s="2">
        <v>51.2</v>
      </c>
      <c r="AG30" s="2">
        <v>40.200000000000003</v>
      </c>
      <c r="AH30" s="2">
        <v>11</v>
      </c>
      <c r="AI30" s="2">
        <v>22.85</v>
      </c>
      <c r="AJ30" s="2">
        <v>5.41</v>
      </c>
      <c r="AK30" s="2">
        <v>1.3779999999999999</v>
      </c>
      <c r="AL30" s="2">
        <v>1.147</v>
      </c>
      <c r="AM30" s="2">
        <v>0.95399999999999996</v>
      </c>
      <c r="AN30" s="2">
        <v>0.83199999999999996</v>
      </c>
      <c r="AO30" s="2">
        <v>1.58</v>
      </c>
      <c r="AP30" s="2">
        <v>0.76300000000000001</v>
      </c>
      <c r="AQ30" s="2">
        <v>1.006</v>
      </c>
      <c r="AR30" s="2">
        <v>2.21</v>
      </c>
      <c r="AS30" s="2">
        <v>32.83</v>
      </c>
      <c r="AT30" s="2">
        <v>305.60000000000002</v>
      </c>
      <c r="AU30" s="2">
        <v>1.069</v>
      </c>
      <c r="AV30" s="2">
        <v>0.52</v>
      </c>
      <c r="AW30" s="2">
        <v>0.17100000000000001</v>
      </c>
      <c r="AX30" s="2">
        <v>0.25700000000000001</v>
      </c>
      <c r="AY30" s="2">
        <v>0.57199999999999995</v>
      </c>
      <c r="AZ30" s="2">
        <v>0.6</v>
      </c>
      <c r="BA30" s="2">
        <v>0.88</v>
      </c>
      <c r="BB30" s="2">
        <v>5.2</v>
      </c>
      <c r="BC30" s="2">
        <v>32</v>
      </c>
      <c r="BD30" s="2">
        <v>3.5</v>
      </c>
      <c r="BE30" s="2">
        <v>4.3</v>
      </c>
      <c r="BF30" s="2">
        <v>40</v>
      </c>
      <c r="BG30" s="2">
        <v>61</v>
      </c>
      <c r="BH30" s="2">
        <v>180</v>
      </c>
      <c r="BI30" s="2">
        <v>70</v>
      </c>
      <c r="BJ30" s="2">
        <v>32</v>
      </c>
      <c r="BK30" s="2">
        <v>13.4</v>
      </c>
      <c r="BL30" s="2">
        <v>2.2000000000000002</v>
      </c>
      <c r="BM30" s="2">
        <v>0.7</v>
      </c>
      <c r="BN30" s="2">
        <v>0</v>
      </c>
      <c r="BO30" s="2">
        <v>0.16</v>
      </c>
      <c r="BP30" s="2">
        <v>0.9</v>
      </c>
      <c r="BQ30" s="2">
        <v>0.57999999999999996</v>
      </c>
    </row>
    <row r="31" spans="1:69" x14ac:dyDescent="0.2">
      <c r="A31">
        <v>20</v>
      </c>
      <c r="B31">
        <v>100</v>
      </c>
      <c r="C31" t="s">
        <v>16</v>
      </c>
      <c r="D31" t="s">
        <v>0</v>
      </c>
      <c r="E31">
        <v>3</v>
      </c>
      <c r="F31" s="2">
        <v>394.8434829637643</v>
      </c>
      <c r="G31" s="2">
        <v>360.23861125723295</v>
      </c>
      <c r="H31" s="2">
        <v>619.512687939427</v>
      </c>
      <c r="I31" s="2">
        <v>639.06647027880081</v>
      </c>
      <c r="J31" s="2">
        <v>1014.3561709031912</v>
      </c>
      <c r="K31" s="2">
        <v>999.30508153603375</v>
      </c>
      <c r="L31" s="2">
        <v>-34.604871706531355</v>
      </c>
      <c r="M31" s="2">
        <v>-15.051089367157488</v>
      </c>
      <c r="N31" s="2">
        <v>2.2364999999999999</v>
      </c>
      <c r="O31" s="2">
        <v>24.355000000000004</v>
      </c>
      <c r="P31" s="2">
        <v>0.47040000000000004</v>
      </c>
      <c r="Q31" s="2">
        <v>10.630600000000001</v>
      </c>
      <c r="R31" s="2">
        <v>1.9882</v>
      </c>
      <c r="S31" s="2">
        <v>22.2944</v>
      </c>
      <c r="T31" s="2">
        <v>113.99480000000001</v>
      </c>
      <c r="U31" s="2">
        <v>119.89720000000001</v>
      </c>
      <c r="V31" s="2">
        <v>99.120600000000024</v>
      </c>
      <c r="W31" s="2">
        <v>101.86060000000001</v>
      </c>
      <c r="X31" s="2">
        <v>22.764800000000001</v>
      </c>
      <c r="Y31" s="2">
        <v>93.87</v>
      </c>
      <c r="Z31" s="2">
        <v>40.43</v>
      </c>
      <c r="AA31" s="2">
        <v>21.73</v>
      </c>
      <c r="AB31" s="2">
        <v>26.18</v>
      </c>
      <c r="AC31" s="2">
        <v>5.04</v>
      </c>
      <c r="AD31" s="2">
        <v>26.09</v>
      </c>
      <c r="AE31" s="2">
        <v>26.97</v>
      </c>
      <c r="AF31" s="2">
        <v>53.1</v>
      </c>
      <c r="AG31" s="2">
        <v>47.5</v>
      </c>
      <c r="AH31" s="2">
        <v>5.5</v>
      </c>
      <c r="AI31" s="2">
        <v>34.549999999999997</v>
      </c>
      <c r="AJ31" s="2">
        <v>6.26</v>
      </c>
      <c r="AK31" s="2">
        <v>1.427</v>
      </c>
      <c r="AL31" s="2">
        <v>1.0369999999999999</v>
      </c>
      <c r="AM31" s="2">
        <v>0.85399999999999998</v>
      </c>
      <c r="AN31" s="2">
        <v>0.72599999999999998</v>
      </c>
      <c r="AO31" s="2">
        <v>1.4790000000000001</v>
      </c>
      <c r="AP31" s="2">
        <v>0.64500000000000002</v>
      </c>
      <c r="AQ31" s="2">
        <v>1.1879999999999999</v>
      </c>
      <c r="AR31" s="2">
        <v>1.6890000000000001</v>
      </c>
      <c r="AS31" s="2">
        <v>20.05</v>
      </c>
      <c r="AT31" s="2">
        <v>273.7</v>
      </c>
      <c r="AU31" s="2">
        <v>1.42</v>
      </c>
      <c r="AV31" s="2">
        <v>0.01</v>
      </c>
      <c r="AW31" s="2">
        <v>0.14499999999999999</v>
      </c>
      <c r="AX31" s="2">
        <v>0.19600000000000001</v>
      </c>
      <c r="AY31" s="2">
        <v>0.65900000000000003</v>
      </c>
      <c r="AZ31" s="2">
        <v>0.71</v>
      </c>
      <c r="BA31" s="2">
        <v>0.99</v>
      </c>
      <c r="BB31" s="2">
        <v>6.8</v>
      </c>
      <c r="BC31" s="2">
        <v>78</v>
      </c>
      <c r="BD31" s="2">
        <v>1.5</v>
      </c>
      <c r="BE31" s="2">
        <v>5.5</v>
      </c>
      <c r="BF31" s="2">
        <v>44</v>
      </c>
      <c r="BG31" s="2">
        <v>105</v>
      </c>
      <c r="BH31" s="2">
        <v>719</v>
      </c>
      <c r="BI31" s="2">
        <v>175</v>
      </c>
      <c r="BJ31" s="2">
        <v>15</v>
      </c>
      <c r="BK31" s="2">
        <v>33.9</v>
      </c>
      <c r="BL31" s="2">
        <v>3.7</v>
      </c>
      <c r="BM31" s="2">
        <v>1.4</v>
      </c>
      <c r="BN31" s="2">
        <v>0</v>
      </c>
      <c r="BO31" s="2">
        <v>0.27</v>
      </c>
      <c r="BP31" s="2">
        <v>3.6</v>
      </c>
      <c r="BQ31" s="2">
        <v>1.44</v>
      </c>
    </row>
    <row r="32" spans="1:69" x14ac:dyDescent="0.2">
      <c r="A32">
        <v>20</v>
      </c>
      <c r="B32">
        <v>109</v>
      </c>
      <c r="C32" t="s">
        <v>16</v>
      </c>
      <c r="D32" t="s">
        <v>7</v>
      </c>
      <c r="E32">
        <v>3</v>
      </c>
      <c r="F32" s="2">
        <v>152.24732824427474</v>
      </c>
      <c r="G32" s="2">
        <v>323.85377176015487</v>
      </c>
      <c r="H32" s="2">
        <v>233.74442748091604</v>
      </c>
      <c r="I32" s="2">
        <v>816.49079303675057</v>
      </c>
      <c r="J32" s="2">
        <v>385.99175572519079</v>
      </c>
      <c r="K32" s="2">
        <v>1140.3445647969054</v>
      </c>
      <c r="L32" s="2">
        <v>171.60644351588013</v>
      </c>
      <c r="M32" s="2">
        <v>754.35280907171455</v>
      </c>
      <c r="N32" s="2">
        <v>3.4512999999999998</v>
      </c>
      <c r="O32" s="2">
        <v>70.091000000000008</v>
      </c>
      <c r="P32" s="2">
        <v>0.87880000000000003</v>
      </c>
      <c r="Q32" s="2">
        <v>10.020200000000001</v>
      </c>
      <c r="R32" s="2">
        <v>1.2753999999999999</v>
      </c>
      <c r="S32" s="2">
        <v>32.285800000000002</v>
      </c>
      <c r="T32" s="2">
        <v>37.006799999999998</v>
      </c>
      <c r="U32" s="2">
        <v>72.791600000000003</v>
      </c>
      <c r="V32" s="2">
        <v>40.902400000000007</v>
      </c>
      <c r="W32" s="2">
        <v>13.862400000000001</v>
      </c>
      <c r="X32" s="2">
        <v>33.1646</v>
      </c>
      <c r="Y32" s="2">
        <v>104.29</v>
      </c>
      <c r="Z32" s="2">
        <v>42.17</v>
      </c>
      <c r="AA32" s="2">
        <v>23.35</v>
      </c>
      <c r="AB32" s="2">
        <v>29.94</v>
      </c>
      <c r="AC32" s="2">
        <v>8.2799999999999994</v>
      </c>
      <c r="AD32" s="2">
        <v>11.37</v>
      </c>
      <c r="AE32" s="2">
        <v>30.98</v>
      </c>
      <c r="AF32" s="2">
        <v>42.4</v>
      </c>
      <c r="AG32" s="2">
        <v>52.8</v>
      </c>
      <c r="AH32" s="2">
        <v>-10.5</v>
      </c>
      <c r="AI32" s="2">
        <v>51.45</v>
      </c>
      <c r="AJ32" s="2">
        <v>10.49</v>
      </c>
      <c r="AK32" s="2">
        <v>1.3480000000000001</v>
      </c>
      <c r="AL32" s="2">
        <v>0.57699999999999996</v>
      </c>
      <c r="AM32" s="2">
        <v>0.64600000000000002</v>
      </c>
      <c r="AN32" s="2">
        <v>0.42799999999999999</v>
      </c>
      <c r="AO32" s="2">
        <v>0.77800000000000002</v>
      </c>
      <c r="AP32" s="2">
        <v>0.27</v>
      </c>
      <c r="AQ32" s="2">
        <v>1.32</v>
      </c>
      <c r="AR32" s="2">
        <v>0.72</v>
      </c>
      <c r="AS32" s="2">
        <v>8.4</v>
      </c>
      <c r="AT32" s="2">
        <v>126.9</v>
      </c>
      <c r="AU32" s="2">
        <v>1.544</v>
      </c>
      <c r="AV32" s="2">
        <v>0.06</v>
      </c>
      <c r="AW32" s="2">
        <v>0.124</v>
      </c>
      <c r="AX32" s="2">
        <v>0.185</v>
      </c>
      <c r="AY32" s="2">
        <v>0.69099999999999995</v>
      </c>
      <c r="AZ32" s="2">
        <v>0.22</v>
      </c>
      <c r="BA32" s="2">
        <v>1.17</v>
      </c>
      <c r="BB32" s="2">
        <v>4.4000000000000004</v>
      </c>
      <c r="BC32" s="2">
        <v>81</v>
      </c>
      <c r="BD32" s="2">
        <v>0.8</v>
      </c>
      <c r="BE32" s="2">
        <v>5.8</v>
      </c>
      <c r="BF32" s="2">
        <v>29</v>
      </c>
      <c r="BG32" s="2">
        <v>156</v>
      </c>
      <c r="BH32" s="2">
        <v>440</v>
      </c>
      <c r="BI32" s="2">
        <v>114</v>
      </c>
      <c r="BJ32" s="2">
        <v>8</v>
      </c>
      <c r="BK32" s="2">
        <v>30</v>
      </c>
      <c r="BL32" s="2">
        <v>1.6</v>
      </c>
      <c r="BM32" s="2">
        <v>0.8</v>
      </c>
      <c r="BN32" s="2">
        <v>0</v>
      </c>
      <c r="BO32" s="2">
        <v>0.4</v>
      </c>
      <c r="BP32" s="2">
        <v>2.2000000000000002</v>
      </c>
      <c r="BQ32" s="2">
        <v>0.94</v>
      </c>
    </row>
    <row r="33" spans="1:69" x14ac:dyDescent="0.2">
      <c r="A33">
        <v>20</v>
      </c>
      <c r="B33">
        <v>123</v>
      </c>
      <c r="C33" t="s">
        <v>16</v>
      </c>
      <c r="D33" t="s">
        <v>5</v>
      </c>
      <c r="E33">
        <v>2</v>
      </c>
      <c r="F33" s="2">
        <v>311.05423728813582</v>
      </c>
      <c r="G33" s="2">
        <v>58.326960257787235</v>
      </c>
      <c r="H33" s="2">
        <v>755.69135593220346</v>
      </c>
      <c r="I33" s="2">
        <v>354.33628356605817</v>
      </c>
      <c r="J33" s="2">
        <v>1066.7455932203393</v>
      </c>
      <c r="K33" s="2">
        <v>412.66324382384539</v>
      </c>
      <c r="L33" s="2">
        <v>-252.7272770303486</v>
      </c>
      <c r="M33" s="2">
        <v>-654.0823493964939</v>
      </c>
      <c r="N33" s="2" t="s">
        <v>14</v>
      </c>
      <c r="O33" s="2" t="s">
        <v>14</v>
      </c>
      <c r="P33" s="2" t="s">
        <v>14</v>
      </c>
      <c r="Q33" s="2">
        <v>2.6377999999999999</v>
      </c>
      <c r="R33" s="2">
        <v>0.97139999999999993</v>
      </c>
      <c r="S33" s="2" t="s">
        <v>14</v>
      </c>
      <c r="T33" s="2">
        <v>61.384399999999999</v>
      </c>
      <c r="U33" s="2">
        <v>20.436399999999999</v>
      </c>
      <c r="V33" s="2" t="s">
        <v>14</v>
      </c>
      <c r="W33" s="2" t="s">
        <v>14</v>
      </c>
      <c r="X33" s="2" t="s">
        <v>14</v>
      </c>
      <c r="Y33" s="2">
        <v>73.03</v>
      </c>
      <c r="Z33" s="2">
        <v>15.56</v>
      </c>
      <c r="AA33" s="2">
        <v>28.17</v>
      </c>
      <c r="AB33" s="2">
        <v>25.4</v>
      </c>
      <c r="AC33" s="2">
        <v>3.32</v>
      </c>
      <c r="AD33" s="2">
        <v>19.39</v>
      </c>
      <c r="AE33" s="2">
        <v>29.85</v>
      </c>
      <c r="AF33" s="2">
        <v>49.2</v>
      </c>
      <c r="AG33" s="2">
        <v>37</v>
      </c>
      <c r="AH33" s="2">
        <v>12.3</v>
      </c>
      <c r="AI33" s="2">
        <v>20.71</v>
      </c>
      <c r="AJ33" s="2">
        <v>3.08</v>
      </c>
      <c r="AK33" s="2">
        <v>0.90800000000000003</v>
      </c>
      <c r="AL33" s="2">
        <v>1.0629999999999999</v>
      </c>
      <c r="AM33" s="2">
        <v>1.1259999999999999</v>
      </c>
      <c r="AN33" s="2">
        <v>1.171</v>
      </c>
      <c r="AO33" s="2">
        <v>0.96499999999999997</v>
      </c>
      <c r="AP33" s="2">
        <v>1.246</v>
      </c>
      <c r="AQ33" s="2">
        <v>0.92400000000000004</v>
      </c>
      <c r="AR33" s="2">
        <v>2.8090000000000002</v>
      </c>
      <c r="AS33" s="2">
        <v>62.66</v>
      </c>
      <c r="AT33" s="2">
        <v>307.8</v>
      </c>
      <c r="AU33" s="2">
        <v>0.78</v>
      </c>
      <c r="AV33" s="2">
        <v>0.9</v>
      </c>
      <c r="AW33" s="2">
        <v>8.5999999999999993E-2</v>
      </c>
      <c r="AX33" s="2">
        <v>0.14399999999999999</v>
      </c>
      <c r="AY33" s="2">
        <v>0.76900000000000002</v>
      </c>
      <c r="AZ33" s="2">
        <v>1.1399999999999999</v>
      </c>
      <c r="BA33" s="2">
        <v>0.81</v>
      </c>
      <c r="BB33" s="2">
        <v>7.7</v>
      </c>
      <c r="BC33" s="2">
        <v>37</v>
      </c>
      <c r="BD33" s="2">
        <v>4.8</v>
      </c>
      <c r="BE33" s="2">
        <v>4.0999999999999996</v>
      </c>
      <c r="BF33" s="2">
        <v>43</v>
      </c>
      <c r="BG33" s="2">
        <v>62</v>
      </c>
      <c r="BH33" s="2">
        <v>394</v>
      </c>
      <c r="BI33" s="2">
        <v>89</v>
      </c>
      <c r="BJ33" s="2">
        <v>21</v>
      </c>
      <c r="BK33" s="2">
        <v>1.8</v>
      </c>
      <c r="BL33" s="2">
        <v>1.4</v>
      </c>
      <c r="BM33" s="2">
        <v>0.3</v>
      </c>
      <c r="BN33" s="2">
        <v>0.1</v>
      </c>
      <c r="BO33" s="2">
        <v>0.16</v>
      </c>
      <c r="BP33" s="2">
        <v>1.97</v>
      </c>
      <c r="BQ33" s="2">
        <v>0.73</v>
      </c>
    </row>
    <row r="34" spans="1:69" x14ac:dyDescent="0.2">
      <c r="A34">
        <v>20</v>
      </c>
      <c r="B34">
        <v>158</v>
      </c>
      <c r="C34" t="s">
        <v>16</v>
      </c>
      <c r="D34" t="s">
        <v>0</v>
      </c>
      <c r="E34">
        <v>1</v>
      </c>
      <c r="F34" s="2">
        <v>704.09735449735467</v>
      </c>
      <c r="G34" s="2">
        <v>601.01620421753603</v>
      </c>
      <c r="H34" s="2">
        <v>1205.4785185185187</v>
      </c>
      <c r="I34" s="2">
        <v>1054.2058601553831</v>
      </c>
      <c r="J34" s="2">
        <v>1909.5758730158734</v>
      </c>
      <c r="K34" s="2">
        <v>1655.2220643729192</v>
      </c>
      <c r="L34" s="2">
        <v>-103.08115027981864</v>
      </c>
      <c r="M34" s="2">
        <v>-254.35380864295416</v>
      </c>
      <c r="N34" s="2">
        <v>4.9480000000000004</v>
      </c>
      <c r="O34" s="2">
        <v>48.570999999999998</v>
      </c>
      <c r="P34" s="2">
        <v>0.80120000000000002</v>
      </c>
      <c r="Q34" s="2">
        <v>96.451399999999992</v>
      </c>
      <c r="R34" s="2">
        <v>57.796199999999999</v>
      </c>
      <c r="S34" s="2">
        <v>52.022399999999998</v>
      </c>
      <c r="T34" s="2">
        <v>198.1516</v>
      </c>
      <c r="U34" s="2">
        <v>171.3724</v>
      </c>
      <c r="V34" s="2">
        <v>176.345</v>
      </c>
      <c r="W34" s="2">
        <v>241.77940000000001</v>
      </c>
      <c r="X34" s="2">
        <v>52.823599999999999</v>
      </c>
      <c r="Y34" s="2">
        <v>81.94</v>
      </c>
      <c r="Z34" s="2">
        <v>45.03</v>
      </c>
      <c r="AA34" s="2">
        <v>19.73</v>
      </c>
      <c r="AB34" s="2">
        <v>13.18</v>
      </c>
      <c r="AC34" s="2">
        <v>3.48</v>
      </c>
      <c r="AD34" s="2">
        <v>34.39</v>
      </c>
      <c r="AE34" s="2">
        <v>21.84</v>
      </c>
      <c r="AF34" s="2">
        <v>56.2</v>
      </c>
      <c r="AG34" s="2">
        <v>41.5</v>
      </c>
      <c r="AH34" s="2">
        <v>14.7</v>
      </c>
      <c r="AI34" s="2">
        <v>20.45</v>
      </c>
      <c r="AJ34" s="2">
        <v>5.26</v>
      </c>
      <c r="AK34" s="2">
        <v>1.756</v>
      </c>
      <c r="AL34" s="2">
        <v>1.413</v>
      </c>
      <c r="AM34" s="2">
        <v>0.86799999999999999</v>
      </c>
      <c r="AN34" s="2">
        <v>0.80500000000000005</v>
      </c>
      <c r="AO34" s="2">
        <v>2.4809999999999999</v>
      </c>
      <c r="AP34" s="2">
        <v>0.76400000000000001</v>
      </c>
      <c r="AQ34" s="2">
        <v>1.0369999999999999</v>
      </c>
      <c r="AR34" s="2">
        <v>3.9980000000000002</v>
      </c>
      <c r="AS34" s="2">
        <v>42.21</v>
      </c>
      <c r="AT34" s="2">
        <v>493.2</v>
      </c>
      <c r="AU34" s="2">
        <v>1.1830000000000001</v>
      </c>
      <c r="AV34" s="2">
        <v>0.12</v>
      </c>
      <c r="AW34" s="2">
        <v>0.23400000000000001</v>
      </c>
      <c r="AX34" s="2">
        <v>0.27400000000000002</v>
      </c>
      <c r="AY34" s="2">
        <v>0.49299999999999999</v>
      </c>
      <c r="AZ34" s="2">
        <v>0.97</v>
      </c>
      <c r="BA34" s="2">
        <v>0.82</v>
      </c>
      <c r="BB34" s="2">
        <v>14.3</v>
      </c>
      <c r="BC34" s="2">
        <v>88</v>
      </c>
      <c r="BD34" s="2">
        <v>1.8</v>
      </c>
      <c r="BE34" s="2">
        <v>5.9</v>
      </c>
      <c r="BF34" s="2">
        <v>534</v>
      </c>
      <c r="BG34" s="2">
        <v>547</v>
      </c>
      <c r="BH34" s="2">
        <v>1647</v>
      </c>
      <c r="BI34" s="2">
        <v>360</v>
      </c>
      <c r="BJ34" s="2">
        <v>24</v>
      </c>
      <c r="BK34" s="2">
        <v>27.1</v>
      </c>
      <c r="BL34" s="2">
        <v>34.200000000000003</v>
      </c>
      <c r="BM34" s="2">
        <v>3.6</v>
      </c>
      <c r="BN34" s="2">
        <v>0.1</v>
      </c>
      <c r="BO34" s="2">
        <v>1.4</v>
      </c>
      <c r="BP34" s="2">
        <v>8.24</v>
      </c>
      <c r="BQ34" s="2">
        <v>2.96</v>
      </c>
    </row>
    <row r="35" spans="1:69" x14ac:dyDescent="0.2">
      <c r="A35">
        <v>20</v>
      </c>
      <c r="B35">
        <v>193</v>
      </c>
      <c r="C35" t="s">
        <v>16</v>
      </c>
      <c r="D35" t="s">
        <v>5</v>
      </c>
      <c r="E35">
        <v>4</v>
      </c>
      <c r="F35" s="2">
        <v>352.07830588235299</v>
      </c>
      <c r="G35" s="2">
        <v>570.25795511221941</v>
      </c>
      <c r="H35" s="2">
        <v>524.85221647058836</v>
      </c>
      <c r="I35" s="2">
        <v>581.84367082294273</v>
      </c>
      <c r="J35" s="2">
        <v>876.93052235294135</v>
      </c>
      <c r="K35" s="2">
        <v>1152.1016259351622</v>
      </c>
      <c r="L35" s="2">
        <v>218.17964922986641</v>
      </c>
      <c r="M35" s="2">
        <v>275.17110358222089</v>
      </c>
      <c r="N35" s="2">
        <v>2.7042999999999999</v>
      </c>
      <c r="O35" s="2">
        <v>29.274000000000001</v>
      </c>
      <c r="P35" s="2">
        <v>0.71579999999999999</v>
      </c>
      <c r="Q35" s="2">
        <v>9.6018000000000008</v>
      </c>
      <c r="R35" s="2">
        <v>61.294600000000003</v>
      </c>
      <c r="S35" s="2">
        <v>23.670400000000001</v>
      </c>
      <c r="T35" s="2">
        <v>70.238000000000014</v>
      </c>
      <c r="U35" s="2">
        <v>74.238800000000012</v>
      </c>
      <c r="V35" s="2">
        <v>111.14720000000003</v>
      </c>
      <c r="W35" s="2">
        <v>55.453600000000009</v>
      </c>
      <c r="X35" s="2">
        <v>24.386200000000002</v>
      </c>
      <c r="Y35" s="2">
        <v>89.47</v>
      </c>
      <c r="Z35" s="2">
        <v>34.68</v>
      </c>
      <c r="AA35" s="2">
        <v>31.88</v>
      </c>
      <c r="AB35" s="2">
        <v>19.010000000000002</v>
      </c>
      <c r="AC35" s="2">
        <v>3.41</v>
      </c>
      <c r="AD35" s="2">
        <v>16.600000000000001</v>
      </c>
      <c r="AE35" s="2">
        <v>40.42</v>
      </c>
      <c r="AF35" s="2">
        <v>57</v>
      </c>
      <c r="AG35" s="2">
        <v>45.3</v>
      </c>
      <c r="AH35" s="2">
        <v>11.7</v>
      </c>
      <c r="AI35" s="2">
        <v>26.72</v>
      </c>
      <c r="AJ35" s="2">
        <v>5.73</v>
      </c>
      <c r="AK35" s="2">
        <v>1.37</v>
      </c>
      <c r="AL35" s="2">
        <v>0.86299999999999999</v>
      </c>
      <c r="AM35" s="2">
        <v>0.85699999999999998</v>
      </c>
      <c r="AN35" s="2">
        <v>0.63</v>
      </c>
      <c r="AO35" s="2">
        <v>1.1830000000000001</v>
      </c>
      <c r="AP35" s="2">
        <v>0.47899999999999998</v>
      </c>
      <c r="AQ35" s="2">
        <v>1.133</v>
      </c>
      <c r="AR35" s="2">
        <v>2.4740000000000002</v>
      </c>
      <c r="AS35" s="2">
        <v>29.7</v>
      </c>
      <c r="AT35" s="2">
        <v>317</v>
      </c>
      <c r="AU35" s="2">
        <v>1.161</v>
      </c>
      <c r="AV35" s="2">
        <v>4.0999999999999996</v>
      </c>
      <c r="AW35" s="2">
        <v>0.111</v>
      </c>
      <c r="AX35" s="2">
        <v>0.2</v>
      </c>
      <c r="AY35" s="2">
        <v>0.68899999999999995</v>
      </c>
      <c r="AZ35" s="2">
        <v>0.46</v>
      </c>
      <c r="BA35" s="2">
        <v>0.92</v>
      </c>
      <c r="BB35" s="2">
        <v>10.6</v>
      </c>
      <c r="BC35" s="2">
        <v>87</v>
      </c>
      <c r="BD35" s="2">
        <v>1.4</v>
      </c>
      <c r="BE35" s="2">
        <v>5.9</v>
      </c>
      <c r="BF35" s="2">
        <v>114</v>
      </c>
      <c r="BG35" s="2">
        <v>93</v>
      </c>
      <c r="BH35" s="2">
        <v>1513</v>
      </c>
      <c r="BI35" s="2">
        <v>167</v>
      </c>
      <c r="BJ35" s="2">
        <v>15</v>
      </c>
      <c r="BK35" s="2">
        <v>28.2</v>
      </c>
      <c r="BL35" s="2">
        <v>46.3</v>
      </c>
      <c r="BM35" s="2">
        <v>2</v>
      </c>
      <c r="BN35" s="2">
        <v>0</v>
      </c>
      <c r="BO35" s="2">
        <v>0.24</v>
      </c>
      <c r="BP35" s="2">
        <v>7.57</v>
      </c>
      <c r="BQ35" s="2">
        <v>1.37</v>
      </c>
    </row>
    <row r="36" spans="1:69" x14ac:dyDescent="0.2">
      <c r="A36">
        <v>20</v>
      </c>
      <c r="B36">
        <v>200</v>
      </c>
      <c r="C36" t="s">
        <v>16</v>
      </c>
      <c r="D36" t="s">
        <v>3</v>
      </c>
      <c r="E36">
        <v>3</v>
      </c>
      <c r="F36" s="2">
        <v>209.76301303718006</v>
      </c>
      <c r="G36" s="2">
        <v>257.90573012938995</v>
      </c>
      <c r="H36" s="2">
        <v>366.64826653790459</v>
      </c>
      <c r="I36" s="2">
        <v>371.80247689463965</v>
      </c>
      <c r="J36" s="2">
        <v>576.41127957508468</v>
      </c>
      <c r="K36" s="2">
        <v>629.70820702402966</v>
      </c>
      <c r="L36" s="2">
        <v>48.142717092209892</v>
      </c>
      <c r="M36" s="2">
        <v>53.296927448944984</v>
      </c>
      <c r="N36" s="2">
        <v>1.3653000000000002</v>
      </c>
      <c r="O36" s="2">
        <v>14.295</v>
      </c>
      <c r="P36" s="2">
        <v>1.0149068322981365</v>
      </c>
      <c r="Q36" s="2">
        <v>20.856999999999999</v>
      </c>
      <c r="R36" s="2">
        <v>28.2258</v>
      </c>
      <c r="S36" s="2">
        <v>22.578881987577638</v>
      </c>
      <c r="T36" s="2">
        <v>61.071599999999997</v>
      </c>
      <c r="U36" s="2">
        <v>51.9452</v>
      </c>
      <c r="V36" s="2">
        <v>56.577211180124216</v>
      </c>
      <c r="W36" s="2">
        <v>58.334811180124213</v>
      </c>
      <c r="X36" s="2">
        <v>23.593788819875776</v>
      </c>
      <c r="Y36" s="2">
        <v>100.15</v>
      </c>
      <c r="Z36" s="2">
        <v>43.27</v>
      </c>
      <c r="AA36" s="2">
        <v>22.94</v>
      </c>
      <c r="AB36" s="2">
        <v>28.04</v>
      </c>
      <c r="AC36" s="2">
        <v>5.38</v>
      </c>
      <c r="AD36" s="2">
        <v>17.97</v>
      </c>
      <c r="AE36" s="2">
        <v>27.26</v>
      </c>
      <c r="AF36" s="2">
        <v>45.2</v>
      </c>
      <c r="AG36" s="2">
        <v>50.7</v>
      </c>
      <c r="AH36" s="2">
        <v>-5.5</v>
      </c>
      <c r="AI36" s="2">
        <v>47.79</v>
      </c>
      <c r="AJ36" s="2">
        <v>7.13</v>
      </c>
      <c r="AK36" s="2">
        <v>1.429</v>
      </c>
      <c r="AL36" s="2">
        <v>0.76100000000000001</v>
      </c>
      <c r="AM36" s="2">
        <v>0.68300000000000005</v>
      </c>
      <c r="AN36" s="2">
        <v>0.53200000000000003</v>
      </c>
      <c r="AO36" s="2">
        <v>1.087</v>
      </c>
      <c r="AP36" s="2">
        <v>0.41499999999999998</v>
      </c>
      <c r="AQ36" s="2">
        <v>1.268</v>
      </c>
      <c r="AR36" s="2">
        <v>1.0760000000000001</v>
      </c>
      <c r="AS36" s="2">
        <v>11.77</v>
      </c>
      <c r="AT36" s="2">
        <v>152.1</v>
      </c>
      <c r="AU36" s="2">
        <v>1.496</v>
      </c>
      <c r="AV36" s="2">
        <v>0.1</v>
      </c>
      <c r="AW36" s="2">
        <v>0.11700000000000001</v>
      </c>
      <c r="AX36" s="2">
        <v>0.19600000000000001</v>
      </c>
      <c r="AY36" s="2">
        <v>0.68700000000000006</v>
      </c>
      <c r="AZ36" s="2">
        <v>0.27</v>
      </c>
      <c r="BA36" s="2">
        <v>1.1200000000000001</v>
      </c>
      <c r="BB36" s="2">
        <v>7</v>
      </c>
      <c r="BC36" s="2">
        <v>85</v>
      </c>
      <c r="BD36" s="2">
        <v>1.1000000000000001</v>
      </c>
      <c r="BE36" s="2">
        <v>6</v>
      </c>
      <c r="BF36" s="2">
        <v>36</v>
      </c>
      <c r="BG36" s="2">
        <v>140</v>
      </c>
      <c r="BH36" s="2">
        <v>782</v>
      </c>
      <c r="BI36" s="2">
        <v>203</v>
      </c>
      <c r="BJ36" s="2">
        <v>12</v>
      </c>
      <c r="BK36" s="2">
        <v>22.7</v>
      </c>
      <c r="BL36" s="2">
        <v>3.3</v>
      </c>
      <c r="BM36" s="2">
        <v>1.1000000000000001</v>
      </c>
      <c r="BN36" s="2">
        <v>0</v>
      </c>
      <c r="BO36" s="2">
        <v>0.36</v>
      </c>
      <c r="BP36" s="2">
        <v>3.91</v>
      </c>
      <c r="BQ36" s="2">
        <v>1.67</v>
      </c>
    </row>
    <row r="37" spans="1:69" x14ac:dyDescent="0.2">
      <c r="A37">
        <v>20</v>
      </c>
      <c r="B37">
        <v>244</v>
      </c>
      <c r="C37" t="s">
        <v>16</v>
      </c>
      <c r="D37" t="s">
        <v>7</v>
      </c>
      <c r="E37">
        <v>1</v>
      </c>
      <c r="F37" s="2">
        <v>322.90822596630329</v>
      </c>
      <c r="G37" s="2">
        <v>389.26451612903219</v>
      </c>
      <c r="H37" s="2">
        <v>573.61058473736387</v>
      </c>
      <c r="I37" s="2">
        <v>627.34636983189466</v>
      </c>
      <c r="J37" s="2">
        <v>896.51881070366721</v>
      </c>
      <c r="K37" s="2">
        <v>1016.6108859609269</v>
      </c>
      <c r="L37" s="2">
        <v>66.356290162728897</v>
      </c>
      <c r="M37" s="2">
        <v>120.09207525725969</v>
      </c>
      <c r="N37" s="2">
        <v>2.4062000000000001</v>
      </c>
      <c r="O37" s="2">
        <v>26.887</v>
      </c>
      <c r="P37" s="2">
        <v>1.1071559633027523</v>
      </c>
      <c r="Q37" s="2">
        <v>28.908200000000001</v>
      </c>
      <c r="R37" s="2">
        <v>40.6922</v>
      </c>
      <c r="S37" s="2">
        <v>28.374678899082568</v>
      </c>
      <c r="T37" s="2">
        <v>81.399600000000007</v>
      </c>
      <c r="U37" s="2">
        <v>62.469200000000001</v>
      </c>
      <c r="V37" s="2">
        <v>73.679565137614674</v>
      </c>
      <c r="W37" s="2">
        <v>80.825965137614702</v>
      </c>
      <c r="X37" s="2">
        <v>29.48183486238532</v>
      </c>
      <c r="Y37" s="2">
        <v>92.23</v>
      </c>
      <c r="Z37" s="2">
        <v>46.07</v>
      </c>
      <c r="AA37" s="2">
        <v>23.23</v>
      </c>
      <c r="AB37" s="2">
        <v>19.61</v>
      </c>
      <c r="AC37" s="2">
        <v>2.84</v>
      </c>
      <c r="AD37" s="2">
        <v>20.79</v>
      </c>
      <c r="AE37" s="2">
        <v>28.05</v>
      </c>
      <c r="AF37" s="2">
        <v>48.8</v>
      </c>
      <c r="AG37" s="2">
        <v>46.7</v>
      </c>
      <c r="AH37" s="2">
        <v>2.1</v>
      </c>
      <c r="AI37" s="2">
        <v>37.43</v>
      </c>
      <c r="AJ37" s="2">
        <v>5.96</v>
      </c>
      <c r="AK37" s="2">
        <v>1.627</v>
      </c>
      <c r="AL37" s="2">
        <v>0.90200000000000002</v>
      </c>
      <c r="AM37" s="2">
        <v>0.70499999999999996</v>
      </c>
      <c r="AN37" s="2">
        <v>0.55400000000000005</v>
      </c>
      <c r="AO37" s="2">
        <v>1.4670000000000001</v>
      </c>
      <c r="AP37" s="2">
        <v>0.45100000000000001</v>
      </c>
      <c r="AQ37" s="2">
        <v>1.167</v>
      </c>
      <c r="AR37" s="2">
        <v>1.84</v>
      </c>
      <c r="AS37" s="2">
        <v>22.47</v>
      </c>
      <c r="AT37" s="2">
        <v>251.6</v>
      </c>
      <c r="AU37" s="2">
        <v>1.3819999999999999</v>
      </c>
      <c r="AV37" s="2">
        <v>1.02</v>
      </c>
      <c r="AW37" s="2">
        <v>0.14699999999999999</v>
      </c>
      <c r="AX37" s="2">
        <v>0.16400000000000001</v>
      </c>
      <c r="AY37" s="2">
        <v>0.68799999999999994</v>
      </c>
      <c r="AZ37" s="2">
        <v>1.08</v>
      </c>
      <c r="BA37" s="2">
        <v>1.03</v>
      </c>
      <c r="BB37" s="2">
        <v>9</v>
      </c>
      <c r="BC37" s="2">
        <v>83</v>
      </c>
      <c r="BD37" s="2">
        <v>1.5</v>
      </c>
      <c r="BE37" s="2">
        <v>5.8</v>
      </c>
      <c r="BF37" s="2">
        <v>225</v>
      </c>
      <c r="BG37" s="2">
        <v>170</v>
      </c>
      <c r="BH37" s="2">
        <v>1026</v>
      </c>
      <c r="BI37" s="2">
        <v>238</v>
      </c>
      <c r="BJ37" s="2">
        <v>19</v>
      </c>
      <c r="BK37" s="2">
        <v>16.8</v>
      </c>
      <c r="BL37" s="2">
        <v>10.8</v>
      </c>
      <c r="BM37" s="2">
        <v>2.4</v>
      </c>
      <c r="BN37" s="2">
        <v>0</v>
      </c>
      <c r="BO37" s="2">
        <v>0.43</v>
      </c>
      <c r="BP37" s="2">
        <v>5.13</v>
      </c>
      <c r="BQ37" s="2">
        <v>1.96</v>
      </c>
    </row>
    <row r="38" spans="1:69" x14ac:dyDescent="0.2">
      <c r="A38">
        <v>20</v>
      </c>
      <c r="B38">
        <v>252</v>
      </c>
      <c r="C38" t="s">
        <v>16</v>
      </c>
      <c r="D38" t="s">
        <v>3</v>
      </c>
      <c r="E38">
        <v>1</v>
      </c>
      <c r="F38" s="2">
        <v>308.7270300333704</v>
      </c>
      <c r="G38" s="2">
        <v>364.27948417350535</v>
      </c>
      <c r="H38" s="2">
        <v>553.02407119021132</v>
      </c>
      <c r="I38" s="2">
        <v>635.89758499413836</v>
      </c>
      <c r="J38" s="2">
        <v>861.75110122358171</v>
      </c>
      <c r="K38" s="2">
        <v>1000.1770691676437</v>
      </c>
      <c r="L38" s="2">
        <v>55.552454140134955</v>
      </c>
      <c r="M38" s="2">
        <v>138.42596794406199</v>
      </c>
      <c r="N38" s="2" t="s">
        <v>14</v>
      </c>
      <c r="O38" s="2" t="s">
        <v>14</v>
      </c>
      <c r="P38" s="2" t="s">
        <v>14</v>
      </c>
      <c r="Q38" s="2">
        <v>52.147399999999998</v>
      </c>
      <c r="R38" s="2">
        <v>78.712999999999994</v>
      </c>
      <c r="S38" s="2" t="s">
        <v>14</v>
      </c>
      <c r="T38" s="2">
        <v>47.161200000000001</v>
      </c>
      <c r="U38" s="2">
        <v>16.762</v>
      </c>
      <c r="V38" s="2" t="s">
        <v>14</v>
      </c>
      <c r="W38" s="2" t="s">
        <v>14</v>
      </c>
      <c r="X38" s="2" t="s">
        <v>14</v>
      </c>
      <c r="Y38" s="2">
        <v>93.87</v>
      </c>
      <c r="Z38" s="2">
        <v>58.81</v>
      </c>
      <c r="AA38" s="2">
        <v>15.12</v>
      </c>
      <c r="AB38" s="2">
        <v>13.49</v>
      </c>
      <c r="AC38" s="2">
        <v>6.04</v>
      </c>
      <c r="AD38" s="2">
        <v>22.67</v>
      </c>
      <c r="AE38" s="2">
        <v>12.67</v>
      </c>
      <c r="AF38" s="2">
        <v>35.299999999999997</v>
      </c>
      <c r="AG38" s="2">
        <v>47.5</v>
      </c>
      <c r="AH38" s="2">
        <v>-12.2</v>
      </c>
      <c r="AI38" s="2">
        <v>45.16</v>
      </c>
      <c r="AJ38" s="2">
        <v>13.37</v>
      </c>
      <c r="AK38" s="2">
        <v>1.925</v>
      </c>
      <c r="AL38" s="2">
        <v>0.85599999999999998</v>
      </c>
      <c r="AM38" s="2">
        <v>0.47799999999999998</v>
      </c>
      <c r="AN38" s="2">
        <v>0.44400000000000001</v>
      </c>
      <c r="AO38" s="2">
        <v>1.6479999999999999</v>
      </c>
      <c r="AP38" s="2">
        <v>0.38500000000000001</v>
      </c>
      <c r="AQ38" s="2">
        <v>1.1879999999999999</v>
      </c>
      <c r="AR38" s="2">
        <v>1.5069999999999999</v>
      </c>
      <c r="AS38" s="2">
        <v>19.5</v>
      </c>
      <c r="AT38" s="2">
        <v>183</v>
      </c>
      <c r="AU38" s="2">
        <v>1.4910000000000001</v>
      </c>
      <c r="AV38" s="2">
        <v>0</v>
      </c>
      <c r="AW38" s="2">
        <v>0.219</v>
      </c>
      <c r="AX38" s="2">
        <v>0.38100000000000001</v>
      </c>
      <c r="AY38" s="2">
        <v>0.4</v>
      </c>
      <c r="AZ38" s="2">
        <v>0.66</v>
      </c>
      <c r="BA38" s="2">
        <v>1.01</v>
      </c>
      <c r="BB38" s="2">
        <v>15.1</v>
      </c>
      <c r="BC38" s="2">
        <v>95</v>
      </c>
      <c r="BD38" s="2">
        <v>0.7</v>
      </c>
      <c r="BE38" s="2">
        <v>6.6</v>
      </c>
      <c r="BF38" s="2">
        <v>166</v>
      </c>
      <c r="BG38" s="2">
        <v>94</v>
      </c>
      <c r="BH38" s="2">
        <v>2003</v>
      </c>
      <c r="BI38" s="2">
        <v>503</v>
      </c>
      <c r="BJ38" s="2">
        <v>14</v>
      </c>
      <c r="BK38" s="2">
        <v>11.1</v>
      </c>
      <c r="BL38" s="2">
        <v>9.9</v>
      </c>
      <c r="BM38" s="2">
        <v>2</v>
      </c>
      <c r="BN38" s="2">
        <v>0.1</v>
      </c>
      <c r="BO38" s="2">
        <v>0.24</v>
      </c>
      <c r="BP38" s="2">
        <v>10.02</v>
      </c>
      <c r="BQ38" s="2">
        <v>4.1399999999999997</v>
      </c>
    </row>
    <row r="39" spans="1:69" x14ac:dyDescent="0.2">
      <c r="A39">
        <v>20</v>
      </c>
      <c r="B39">
        <v>253</v>
      </c>
      <c r="C39" t="s">
        <v>16</v>
      </c>
      <c r="D39" t="s">
        <v>3</v>
      </c>
      <c r="E39">
        <v>2</v>
      </c>
      <c r="F39" s="2">
        <v>147.79035769828926</v>
      </c>
      <c r="G39" s="2">
        <v>191.23589743589736</v>
      </c>
      <c r="H39" s="2">
        <v>283.38214618973558</v>
      </c>
      <c r="I39" s="2">
        <v>299.31641025641028</v>
      </c>
      <c r="J39" s="2">
        <v>431.17250388802483</v>
      </c>
      <c r="K39" s="2">
        <v>490.55230769230764</v>
      </c>
      <c r="L39" s="2">
        <v>43.445539737608101</v>
      </c>
      <c r="M39" s="2">
        <v>59.379803804282801</v>
      </c>
      <c r="N39" s="2">
        <v>1.2570000000000001</v>
      </c>
      <c r="O39" s="2">
        <v>15.761000000000001</v>
      </c>
      <c r="P39" s="2" t="s">
        <v>14</v>
      </c>
      <c r="Q39" s="2">
        <v>5.4354000000000005</v>
      </c>
      <c r="R39" s="2">
        <v>11.8086</v>
      </c>
      <c r="S39" s="2" t="s">
        <v>14</v>
      </c>
      <c r="T39" s="2">
        <v>37.838000000000001</v>
      </c>
      <c r="U39" s="2">
        <v>29.9696</v>
      </c>
      <c r="V39" s="2" t="s">
        <v>14</v>
      </c>
      <c r="W39" s="2" t="s">
        <v>14</v>
      </c>
      <c r="X39" s="2" t="s">
        <v>14</v>
      </c>
      <c r="Y39" s="2">
        <v>105.29</v>
      </c>
      <c r="Z39" s="2">
        <v>9.23</v>
      </c>
      <c r="AA39" s="2">
        <v>43.6</v>
      </c>
      <c r="AB39" s="2">
        <v>43.26</v>
      </c>
      <c r="AC39" s="2">
        <v>8.3800000000000008</v>
      </c>
      <c r="AD39" s="2">
        <v>6.23</v>
      </c>
      <c r="AE39" s="2">
        <v>48.62</v>
      </c>
      <c r="AF39" s="2">
        <v>54.9</v>
      </c>
      <c r="AG39" s="2">
        <v>53.3</v>
      </c>
      <c r="AH39" s="2">
        <v>1.5</v>
      </c>
      <c r="AI39" s="2">
        <v>43.95</v>
      </c>
      <c r="AJ39" s="2">
        <v>6.49</v>
      </c>
      <c r="AK39" s="2">
        <v>0.57599999999999996</v>
      </c>
      <c r="AL39" s="2">
        <v>0.52400000000000002</v>
      </c>
      <c r="AM39" s="2">
        <v>1.038</v>
      </c>
      <c r="AN39" s="2">
        <v>0.91</v>
      </c>
      <c r="AO39" s="2">
        <v>0.30199999999999999</v>
      </c>
      <c r="AP39" s="2">
        <v>0.67500000000000004</v>
      </c>
      <c r="AQ39" s="2">
        <v>1.333</v>
      </c>
      <c r="AR39" s="2">
        <v>1.1459999999999999</v>
      </c>
      <c r="AS39" s="2">
        <v>13.95</v>
      </c>
      <c r="AT39" s="2">
        <v>158.69999999999999</v>
      </c>
      <c r="AU39" s="2">
        <v>1.417</v>
      </c>
      <c r="AV39" s="2">
        <v>0.18</v>
      </c>
      <c r="AW39" s="2">
        <v>5.3999999999999999E-2</v>
      </c>
      <c r="AX39" s="2">
        <v>0.13</v>
      </c>
      <c r="AY39" s="2">
        <v>0.81599999999999995</v>
      </c>
      <c r="AZ39" s="2">
        <v>0.66</v>
      </c>
      <c r="BA39" s="2">
        <v>1.2</v>
      </c>
      <c r="BB39" s="2">
        <v>6.3</v>
      </c>
      <c r="BC39" s="2">
        <v>79</v>
      </c>
      <c r="BD39" s="2">
        <v>1.3</v>
      </c>
      <c r="BE39" s="2">
        <v>5.6</v>
      </c>
      <c r="BF39" s="2">
        <v>128</v>
      </c>
      <c r="BG39" s="2">
        <v>56</v>
      </c>
      <c r="BH39" s="2">
        <v>793</v>
      </c>
      <c r="BI39" s="2">
        <v>102</v>
      </c>
      <c r="BJ39" s="2">
        <v>14</v>
      </c>
      <c r="BK39" s="2">
        <v>10.6</v>
      </c>
      <c r="BL39" s="2">
        <v>4.2</v>
      </c>
      <c r="BM39" s="2">
        <v>0.7</v>
      </c>
      <c r="BN39" s="2">
        <v>0</v>
      </c>
      <c r="BO39" s="2">
        <v>0.14000000000000001</v>
      </c>
      <c r="BP39" s="2">
        <v>3.97</v>
      </c>
      <c r="BQ39" s="2">
        <v>0.84</v>
      </c>
    </row>
    <row r="40" spans="1:69" x14ac:dyDescent="0.2">
      <c r="A40">
        <v>20</v>
      </c>
      <c r="B40">
        <v>262</v>
      </c>
      <c r="C40" t="s">
        <v>16</v>
      </c>
      <c r="D40" t="s">
        <v>3</v>
      </c>
      <c r="E40">
        <v>4</v>
      </c>
      <c r="F40" s="2">
        <v>264.81635910224435</v>
      </c>
      <c r="G40" s="2">
        <v>229.05582849486368</v>
      </c>
      <c r="H40" s="2">
        <v>476.36851870324176</v>
      </c>
      <c r="I40" s="2">
        <v>464.30963823135323</v>
      </c>
      <c r="J40" s="2">
        <v>741.18487780548617</v>
      </c>
      <c r="K40" s="2">
        <v>693.36546672621694</v>
      </c>
      <c r="L40" s="2">
        <v>-35.760530607380673</v>
      </c>
      <c r="M40" s="2">
        <v>-47.81941107926923</v>
      </c>
      <c r="N40" s="2">
        <v>1.2178</v>
      </c>
      <c r="O40" s="2">
        <v>13.903</v>
      </c>
      <c r="P40" s="2">
        <v>0.6522</v>
      </c>
      <c r="Q40" s="2">
        <v>14.9602</v>
      </c>
      <c r="R40" s="2">
        <v>15.1242</v>
      </c>
      <c r="S40" s="2">
        <v>16.203599999999998</v>
      </c>
      <c r="T40" s="2">
        <v>58.321199999999997</v>
      </c>
      <c r="U40" s="2">
        <v>46.11</v>
      </c>
      <c r="V40" s="2">
        <v>44.378399999999999</v>
      </c>
      <c r="W40" s="2">
        <v>56.425599999999989</v>
      </c>
      <c r="X40" s="2">
        <v>16.855799999999999</v>
      </c>
      <c r="Y40" s="2">
        <v>95.67</v>
      </c>
      <c r="Z40" s="2">
        <v>50.76</v>
      </c>
      <c r="AA40" s="2">
        <v>25.68</v>
      </c>
      <c r="AB40" s="2">
        <v>12.05</v>
      </c>
      <c r="AC40" s="2">
        <v>6.67</v>
      </c>
      <c r="AD40" s="2">
        <v>18.87</v>
      </c>
      <c r="AE40" s="2">
        <v>38.54</v>
      </c>
      <c r="AF40" s="2">
        <v>57.4</v>
      </c>
      <c r="AG40" s="2">
        <v>48.4</v>
      </c>
      <c r="AH40" s="2">
        <v>9</v>
      </c>
      <c r="AI40" s="2">
        <v>28.84</v>
      </c>
      <c r="AJ40" s="2">
        <v>9.42</v>
      </c>
      <c r="AK40" s="2">
        <v>1.714</v>
      </c>
      <c r="AL40" s="2">
        <v>0.86699999999999999</v>
      </c>
      <c r="AM40" s="2">
        <v>0.751</v>
      </c>
      <c r="AN40" s="2">
        <v>0.50600000000000001</v>
      </c>
      <c r="AO40" s="2">
        <v>1.4870000000000001</v>
      </c>
      <c r="AP40" s="2">
        <v>0.372</v>
      </c>
      <c r="AQ40" s="2">
        <v>1.2110000000000001</v>
      </c>
      <c r="AR40" s="2">
        <v>1.1719999999999999</v>
      </c>
      <c r="AS40" s="2">
        <v>13.92</v>
      </c>
      <c r="AT40" s="2">
        <v>167.7</v>
      </c>
      <c r="AU40" s="2">
        <v>1.413</v>
      </c>
      <c r="AV40" s="2">
        <v>0.17</v>
      </c>
      <c r="AW40" s="2">
        <v>0.14499999999999999</v>
      </c>
      <c r="AX40" s="2">
        <v>0.34100000000000003</v>
      </c>
      <c r="AY40" s="2">
        <v>0.51300000000000001</v>
      </c>
      <c r="AZ40" s="2">
        <v>0.51</v>
      </c>
      <c r="BA40" s="2">
        <v>1.06</v>
      </c>
      <c r="BB40" s="2">
        <v>7</v>
      </c>
      <c r="BC40" s="2">
        <v>83</v>
      </c>
      <c r="BD40" s="2">
        <v>1.2</v>
      </c>
      <c r="BE40" s="2">
        <v>6</v>
      </c>
      <c r="BF40" s="2">
        <v>167</v>
      </c>
      <c r="BG40" s="2">
        <v>160</v>
      </c>
      <c r="BH40" s="2">
        <v>817</v>
      </c>
      <c r="BI40" s="2">
        <v>165</v>
      </c>
      <c r="BJ40" s="2">
        <v>14</v>
      </c>
      <c r="BK40" s="2">
        <v>76</v>
      </c>
      <c r="BL40" s="2">
        <v>6.3</v>
      </c>
      <c r="BM40" s="2">
        <v>1.6</v>
      </c>
      <c r="BN40" s="2">
        <v>0</v>
      </c>
      <c r="BO40" s="2">
        <v>0.41</v>
      </c>
      <c r="BP40" s="2">
        <v>4.09</v>
      </c>
      <c r="BQ40" s="2">
        <v>1.36</v>
      </c>
    </row>
    <row r="41" spans="1:69" x14ac:dyDescent="0.2">
      <c r="A41">
        <v>20</v>
      </c>
      <c r="B41">
        <v>287</v>
      </c>
      <c r="C41" t="s">
        <v>16</v>
      </c>
      <c r="D41" t="s">
        <v>5</v>
      </c>
      <c r="E41">
        <v>1</v>
      </c>
      <c r="F41" s="2">
        <v>432.61510297482857</v>
      </c>
      <c r="G41" s="2">
        <v>313.40996354799495</v>
      </c>
      <c r="H41" s="2">
        <v>1122.0378947368422</v>
      </c>
      <c r="I41" s="2">
        <v>1144.7711300121505</v>
      </c>
      <c r="J41" s="2">
        <v>1554.6529977116707</v>
      </c>
      <c r="K41" s="2">
        <v>1458.1810935601454</v>
      </c>
      <c r="L41" s="2">
        <v>-119.20513942683363</v>
      </c>
      <c r="M41" s="2">
        <v>-96.471904151525223</v>
      </c>
      <c r="N41" s="2">
        <v>5.3064</v>
      </c>
      <c r="O41" s="2">
        <v>85.439000000000007</v>
      </c>
      <c r="P41" s="2">
        <v>1.0217999999999998</v>
      </c>
      <c r="Q41" s="2">
        <v>1.6225999999999998</v>
      </c>
      <c r="R41" s="2">
        <v>2.2689999999999997</v>
      </c>
      <c r="S41" s="2">
        <v>24.151799999999998</v>
      </c>
      <c r="T41" s="2">
        <v>105.77800000000001</v>
      </c>
      <c r="U41" s="2">
        <v>109.3396</v>
      </c>
      <c r="V41" s="2">
        <v>86.435000000000016</v>
      </c>
      <c r="W41" s="2">
        <v>82.227000000000018</v>
      </c>
      <c r="X41" s="2">
        <v>25.173599999999997</v>
      </c>
      <c r="Y41" s="2">
        <v>72.180000000000007</v>
      </c>
      <c r="Z41" s="2">
        <v>34.39</v>
      </c>
      <c r="AA41" s="2">
        <v>13.42</v>
      </c>
      <c r="AB41" s="2">
        <v>20.5</v>
      </c>
      <c r="AC41" s="2">
        <v>3.32</v>
      </c>
      <c r="AD41" s="2">
        <v>21.65</v>
      </c>
      <c r="AE41" s="2">
        <v>17.940000000000001</v>
      </c>
      <c r="AF41" s="2">
        <v>39.6</v>
      </c>
      <c r="AG41" s="2">
        <v>36.5</v>
      </c>
      <c r="AH41" s="2">
        <v>3</v>
      </c>
      <c r="AI41" s="2">
        <v>28.35</v>
      </c>
      <c r="AJ41" s="2">
        <v>4.24</v>
      </c>
      <c r="AK41" s="2">
        <v>1.5309999999999999</v>
      </c>
      <c r="AL41" s="2">
        <v>1.079</v>
      </c>
      <c r="AM41" s="2">
        <v>0.82799999999999996</v>
      </c>
      <c r="AN41" s="2">
        <v>0.70499999999999996</v>
      </c>
      <c r="AO41" s="2">
        <v>1.6519999999999999</v>
      </c>
      <c r="AP41" s="2">
        <v>0.63</v>
      </c>
      <c r="AQ41" s="2">
        <v>0.91400000000000003</v>
      </c>
      <c r="AR41" s="2">
        <v>3.7679999999999998</v>
      </c>
      <c r="AS41" s="2">
        <v>66.72</v>
      </c>
      <c r="AT41" s="2">
        <v>362.4</v>
      </c>
      <c r="AU41" s="2">
        <v>0.96099999999999997</v>
      </c>
      <c r="AV41" s="2">
        <v>7.0000000000000007E-2</v>
      </c>
      <c r="AW41" s="2">
        <v>0.154</v>
      </c>
      <c r="AX41" s="2">
        <v>0.28699999999999998</v>
      </c>
      <c r="AY41" s="2">
        <v>0.55800000000000005</v>
      </c>
      <c r="AZ41" s="2">
        <v>1.94</v>
      </c>
      <c r="BA41" s="2">
        <v>0.67</v>
      </c>
      <c r="BB41" s="2">
        <v>7.9</v>
      </c>
      <c r="BC41" s="2">
        <v>28</v>
      </c>
      <c r="BD41" s="2">
        <v>5.7</v>
      </c>
      <c r="BE41" s="2">
        <v>3.8</v>
      </c>
      <c r="BF41" s="2">
        <v>81</v>
      </c>
      <c r="BG41" s="2">
        <v>64</v>
      </c>
      <c r="BH41" s="2">
        <v>307</v>
      </c>
      <c r="BI41" s="2">
        <v>59</v>
      </c>
      <c r="BJ41" s="2">
        <v>31</v>
      </c>
      <c r="BK41" s="2">
        <v>1.9</v>
      </c>
      <c r="BL41" s="2">
        <v>4.5</v>
      </c>
      <c r="BM41" s="2">
        <v>1.2</v>
      </c>
      <c r="BN41" s="2">
        <v>0</v>
      </c>
      <c r="BO41" s="2">
        <v>0.16</v>
      </c>
      <c r="BP41" s="2">
        <v>1.54</v>
      </c>
      <c r="BQ41" s="2">
        <v>0.49</v>
      </c>
    </row>
    <row r="42" spans="1:69" x14ac:dyDescent="0.2">
      <c r="A42">
        <v>20</v>
      </c>
      <c r="B42">
        <v>1</v>
      </c>
      <c r="C42" t="s">
        <v>18</v>
      </c>
      <c r="D42" t="s">
        <v>7</v>
      </c>
      <c r="E42">
        <v>1</v>
      </c>
      <c r="F42" s="2">
        <v>40.724519083969419</v>
      </c>
      <c r="G42" s="2">
        <v>76.895458816160385</v>
      </c>
      <c r="H42" s="2">
        <v>198.99480916030529</v>
      </c>
      <c r="I42" s="2">
        <v>260.1155026620732</v>
      </c>
      <c r="J42" s="2">
        <v>239.71932824427472</v>
      </c>
      <c r="K42" s="2">
        <v>337.01096147823358</v>
      </c>
      <c r="L42" s="2">
        <v>36.170939732190966</v>
      </c>
      <c r="M42" s="2">
        <v>97.291633233958862</v>
      </c>
      <c r="N42" s="2">
        <v>0.16770000000000002</v>
      </c>
      <c r="O42" s="2">
        <v>2.6188000000000002</v>
      </c>
      <c r="P42" s="2">
        <v>-6.1494252873563221E-2</v>
      </c>
      <c r="Q42" s="2">
        <v>1.4218000000000002</v>
      </c>
      <c r="R42" s="2">
        <v>2.6345999999999998</v>
      </c>
      <c r="S42" s="2">
        <v>1.8028735632183905</v>
      </c>
      <c r="T42" s="2">
        <v>3.57</v>
      </c>
      <c r="U42" s="2">
        <v>1.0804</v>
      </c>
      <c r="V42" s="2">
        <v>1.9736206896551725</v>
      </c>
      <c r="W42" s="2">
        <v>3.2504206896551722</v>
      </c>
      <c r="X42" s="2">
        <v>1.7413793103448274</v>
      </c>
      <c r="Y42" s="2">
        <v>127.09</v>
      </c>
      <c r="Z42" s="2">
        <v>4.4800000000000004</v>
      </c>
      <c r="AA42" s="2">
        <v>50.68</v>
      </c>
      <c r="AB42" s="2">
        <v>60.69</v>
      </c>
      <c r="AC42" s="2">
        <v>10.73</v>
      </c>
      <c r="AD42" s="2">
        <v>5.62</v>
      </c>
      <c r="AE42" s="2">
        <v>64.03</v>
      </c>
      <c r="AF42" s="2">
        <v>69.7</v>
      </c>
      <c r="AG42" s="2">
        <v>64.3</v>
      </c>
      <c r="AH42" s="2">
        <v>5.3</v>
      </c>
      <c r="AI42" s="2">
        <v>50.94</v>
      </c>
      <c r="AJ42" s="2">
        <v>6.5</v>
      </c>
      <c r="AK42" s="2">
        <v>0.42599999999999999</v>
      </c>
      <c r="AL42" s="2">
        <v>0.504</v>
      </c>
      <c r="AM42" s="2">
        <v>1.2629999999999999</v>
      </c>
      <c r="AN42" s="2">
        <v>1.1850000000000001</v>
      </c>
      <c r="AO42" s="2">
        <v>0.215</v>
      </c>
      <c r="AP42" s="2">
        <v>1.254</v>
      </c>
      <c r="AQ42" s="2">
        <v>1.609</v>
      </c>
      <c r="AR42" s="2">
        <v>0.26600000000000001</v>
      </c>
      <c r="AS42" s="2">
        <v>3.15</v>
      </c>
      <c r="AT42" s="2">
        <v>85.4</v>
      </c>
      <c r="AU42" s="2">
        <v>1.512</v>
      </c>
      <c r="AV42" s="2">
        <v>0.16</v>
      </c>
      <c r="AW42" s="2">
        <v>3.5999999999999997E-2</v>
      </c>
      <c r="AX42" s="2" t="s">
        <v>14</v>
      </c>
      <c r="AY42" s="2">
        <v>0.91800000000000004</v>
      </c>
      <c r="AZ42" s="2">
        <v>0.13</v>
      </c>
      <c r="BA42" s="2">
        <v>1.52</v>
      </c>
      <c r="BB42" s="2">
        <v>1.8</v>
      </c>
      <c r="BC42" s="2">
        <v>76</v>
      </c>
      <c r="BD42" s="2">
        <v>0.4</v>
      </c>
      <c r="BE42" s="2">
        <v>6.1</v>
      </c>
      <c r="BF42" s="2">
        <v>131</v>
      </c>
      <c r="BG42" s="2">
        <v>59</v>
      </c>
      <c r="BH42" s="2">
        <v>165</v>
      </c>
      <c r="BI42" s="2">
        <v>52</v>
      </c>
      <c r="BJ42" s="2">
        <v>6</v>
      </c>
      <c r="BK42" s="2">
        <v>8.3000000000000007</v>
      </c>
      <c r="BL42" s="2">
        <v>2.1</v>
      </c>
      <c r="BM42" s="2">
        <v>1.9</v>
      </c>
      <c r="BN42" s="2">
        <v>0</v>
      </c>
      <c r="BO42" s="2">
        <v>0.15</v>
      </c>
      <c r="BP42" s="2">
        <v>0.83</v>
      </c>
      <c r="BQ42" s="2">
        <v>0.43</v>
      </c>
    </row>
    <row r="43" spans="1:69" x14ac:dyDescent="0.2">
      <c r="A43">
        <v>20</v>
      </c>
      <c r="B43">
        <v>17</v>
      </c>
      <c r="C43" t="s">
        <v>18</v>
      </c>
      <c r="D43" t="s">
        <v>7</v>
      </c>
      <c r="E43">
        <v>2</v>
      </c>
      <c r="F43" s="2">
        <v>41.875290423861806</v>
      </c>
      <c r="G43" s="2">
        <v>35.402272727272653</v>
      </c>
      <c r="H43" s="2">
        <v>185.58367346938766</v>
      </c>
      <c r="I43" s="2">
        <v>88.027272727272717</v>
      </c>
      <c r="J43" s="2">
        <v>227.45896389324946</v>
      </c>
      <c r="K43" s="2">
        <v>123.42954545454538</v>
      </c>
      <c r="L43" s="2">
        <v>-6.473017696589153</v>
      </c>
      <c r="M43" s="2">
        <v>-104.02941843870408</v>
      </c>
      <c r="N43" s="2">
        <v>0.1051</v>
      </c>
      <c r="O43" s="2">
        <v>1.8565999999999998</v>
      </c>
      <c r="P43" s="2">
        <v>0.23039999999999999</v>
      </c>
      <c r="Q43" s="2">
        <v>1.3666</v>
      </c>
      <c r="R43" s="2">
        <v>1.1034000000000002</v>
      </c>
      <c r="S43" s="2">
        <v>3.7978000000000001</v>
      </c>
      <c r="T43" s="2">
        <v>6.8851999999999993</v>
      </c>
      <c r="U43" s="2">
        <v>3.3372000000000002</v>
      </c>
      <c r="V43" s="2">
        <v>0.41239999999999988</v>
      </c>
      <c r="W43" s="2">
        <v>4.2235999999999994</v>
      </c>
      <c r="X43" s="2">
        <v>4.0282</v>
      </c>
      <c r="Y43" s="2">
        <v>124.29</v>
      </c>
      <c r="Z43" s="2">
        <v>9.1999999999999993</v>
      </c>
      <c r="AA43" s="2">
        <v>71.45</v>
      </c>
      <c r="AB43" s="2">
        <v>38.450000000000003</v>
      </c>
      <c r="AC43" s="2">
        <v>4.37</v>
      </c>
      <c r="AD43" s="2">
        <v>6.69</v>
      </c>
      <c r="AE43" s="2">
        <v>68.3</v>
      </c>
      <c r="AF43" s="2">
        <v>75</v>
      </c>
      <c r="AG43" s="2">
        <v>62.9</v>
      </c>
      <c r="AH43" s="2">
        <v>12.1</v>
      </c>
      <c r="AI43" s="2">
        <v>38.5</v>
      </c>
      <c r="AJ43" s="2">
        <v>10.8</v>
      </c>
      <c r="AK43" s="2">
        <v>0.62</v>
      </c>
      <c r="AL43" s="2">
        <v>0.54800000000000004</v>
      </c>
      <c r="AM43" s="2">
        <v>0.93</v>
      </c>
      <c r="AN43" s="2">
        <v>0.88300000000000001</v>
      </c>
      <c r="AO43" s="2">
        <v>0.34</v>
      </c>
      <c r="AP43" s="2">
        <v>0.72699999999999998</v>
      </c>
      <c r="AQ43" s="2">
        <v>1.573</v>
      </c>
      <c r="AR43" s="2">
        <v>0.185</v>
      </c>
      <c r="AS43" s="2">
        <v>2.76</v>
      </c>
      <c r="AT43" s="2">
        <v>37.9</v>
      </c>
      <c r="AU43" s="2">
        <v>1.427</v>
      </c>
      <c r="AV43" s="2">
        <v>0.04</v>
      </c>
      <c r="AW43" s="2">
        <v>5.0999999999999997E-2</v>
      </c>
      <c r="AX43" s="2">
        <v>0.1</v>
      </c>
      <c r="AY43" s="2">
        <v>0.84799999999999998</v>
      </c>
      <c r="AZ43" s="2">
        <v>0.18</v>
      </c>
      <c r="BA43" s="2">
        <v>1.48</v>
      </c>
      <c r="BB43" s="2">
        <v>2</v>
      </c>
      <c r="BC43" s="2">
        <v>64</v>
      </c>
      <c r="BD43" s="2">
        <v>0.7</v>
      </c>
      <c r="BE43" s="2">
        <v>5.7</v>
      </c>
      <c r="BF43" s="2">
        <v>195</v>
      </c>
      <c r="BG43" s="2">
        <v>68</v>
      </c>
      <c r="BH43" s="2">
        <v>150</v>
      </c>
      <c r="BI43" s="2">
        <v>46</v>
      </c>
      <c r="BJ43" s="2">
        <v>7</v>
      </c>
      <c r="BK43" s="2">
        <v>11.5</v>
      </c>
      <c r="BL43" s="2">
        <v>3.1</v>
      </c>
      <c r="BM43" s="2">
        <v>1.2</v>
      </c>
      <c r="BN43" s="2">
        <v>0</v>
      </c>
      <c r="BO43" s="2">
        <v>0.17</v>
      </c>
      <c r="BP43" s="2">
        <v>0.75</v>
      </c>
      <c r="BQ43" s="2">
        <v>0.38</v>
      </c>
    </row>
    <row r="44" spans="1:69" x14ac:dyDescent="0.2">
      <c r="A44">
        <v>20</v>
      </c>
      <c r="B44">
        <v>18</v>
      </c>
      <c r="C44" t="s">
        <v>18</v>
      </c>
      <c r="D44" t="s">
        <v>5</v>
      </c>
      <c r="E44">
        <v>4</v>
      </c>
      <c r="F44" s="2">
        <v>85.928445747800581</v>
      </c>
      <c r="G44" s="2">
        <v>111.14010034735615</v>
      </c>
      <c r="H44" s="2">
        <v>558.53489736070367</v>
      </c>
      <c r="I44" s="2">
        <v>657.48143573909681</v>
      </c>
      <c r="J44" s="2">
        <v>644.4633431085042</v>
      </c>
      <c r="K44" s="2">
        <v>768.62153608645292</v>
      </c>
      <c r="L44" s="2">
        <v>25.211654599555573</v>
      </c>
      <c r="M44" s="2">
        <v>124.15819297794872</v>
      </c>
      <c r="N44" s="2">
        <v>2.6834999999999996</v>
      </c>
      <c r="O44" s="2">
        <v>41.052999999999997</v>
      </c>
      <c r="P44" s="2">
        <v>0.50019999999999998</v>
      </c>
      <c r="Q44" s="2">
        <v>0.87060000000000004</v>
      </c>
      <c r="R44" s="2">
        <v>0.93059999999999998</v>
      </c>
      <c r="S44" s="2">
        <v>39.812800000000003</v>
      </c>
      <c r="T44" s="2">
        <v>80.05080000000001</v>
      </c>
      <c r="U44" s="2">
        <v>86.7988</v>
      </c>
      <c r="V44" s="2">
        <v>47.416399999999996</v>
      </c>
      <c r="W44" s="2">
        <v>40.608400000000003</v>
      </c>
      <c r="X44" s="2">
        <v>40.313000000000002</v>
      </c>
      <c r="Y44" s="2">
        <v>81.83</v>
      </c>
      <c r="Z44" s="2">
        <v>13.95</v>
      </c>
      <c r="AA44" s="2">
        <v>42.75</v>
      </c>
      <c r="AB44" s="2">
        <v>23.48</v>
      </c>
      <c r="AC44" s="2">
        <v>1.31</v>
      </c>
      <c r="AD44" s="2">
        <v>14.44</v>
      </c>
      <c r="AE44" s="2">
        <v>52.48</v>
      </c>
      <c r="AF44" s="2">
        <v>66.900000000000006</v>
      </c>
      <c r="AG44" s="2">
        <v>41.4</v>
      </c>
      <c r="AH44" s="2">
        <v>25.5</v>
      </c>
      <c r="AI44" s="2">
        <v>12.68</v>
      </c>
      <c r="AJ44" s="2">
        <v>2.23</v>
      </c>
      <c r="AK44" s="2">
        <v>0.86099999999999999</v>
      </c>
      <c r="AL44" s="2">
        <v>0.93300000000000005</v>
      </c>
      <c r="AM44" s="2">
        <v>1.18</v>
      </c>
      <c r="AN44" s="2">
        <v>1.083</v>
      </c>
      <c r="AO44" s="2">
        <v>0.80300000000000005</v>
      </c>
      <c r="AP44" s="2">
        <v>1.0349999999999999</v>
      </c>
      <c r="AQ44" s="2">
        <v>1.036</v>
      </c>
      <c r="AR44" s="2">
        <v>1.9970000000000001</v>
      </c>
      <c r="AS44" s="2">
        <v>32.450000000000003</v>
      </c>
      <c r="AT44" s="2">
        <v>224.5</v>
      </c>
      <c r="AU44" s="2">
        <v>0.90800000000000003</v>
      </c>
      <c r="AV44" s="2">
        <v>0.93</v>
      </c>
      <c r="AW44" s="2">
        <v>0.108</v>
      </c>
      <c r="AX44" s="2">
        <v>8.5000000000000006E-2</v>
      </c>
      <c r="AY44" s="2">
        <v>0.80700000000000005</v>
      </c>
      <c r="AZ44" s="2">
        <v>0.66</v>
      </c>
      <c r="BA44" s="2">
        <v>1</v>
      </c>
      <c r="BB44" s="2">
        <v>5.8</v>
      </c>
      <c r="BC44" s="2">
        <v>21</v>
      </c>
      <c r="BD44" s="2">
        <v>4.5999999999999996</v>
      </c>
      <c r="BE44" s="2">
        <v>4</v>
      </c>
      <c r="BF44" s="2">
        <v>56</v>
      </c>
      <c r="BG44" s="2">
        <v>43</v>
      </c>
      <c r="BH44" s="2">
        <v>136</v>
      </c>
      <c r="BI44" s="2">
        <v>53</v>
      </c>
      <c r="BJ44" s="2">
        <v>28</v>
      </c>
      <c r="BK44" s="2">
        <v>2.2000000000000002</v>
      </c>
      <c r="BL44" s="2">
        <v>0.8</v>
      </c>
      <c r="BM44" s="2">
        <v>0.4</v>
      </c>
      <c r="BN44" s="2">
        <v>0</v>
      </c>
      <c r="BO44" s="2">
        <v>0.11</v>
      </c>
      <c r="BP44" s="2">
        <v>0.68</v>
      </c>
      <c r="BQ44" s="2">
        <v>0.44</v>
      </c>
    </row>
    <row r="45" spans="1:69" x14ac:dyDescent="0.2">
      <c r="A45">
        <v>20</v>
      </c>
      <c r="B45">
        <v>46</v>
      </c>
      <c r="C45" t="s">
        <v>18</v>
      </c>
      <c r="D45" t="s">
        <v>0</v>
      </c>
      <c r="E45">
        <v>3</v>
      </c>
      <c r="F45" s="2">
        <v>268.85183823529405</v>
      </c>
      <c r="G45" s="2">
        <v>315.13063946645735</v>
      </c>
      <c r="H45" s="2">
        <v>643.57279411764682</v>
      </c>
      <c r="I45" s="2">
        <v>744.42181247548058</v>
      </c>
      <c r="J45" s="2">
        <v>912.42463235294088</v>
      </c>
      <c r="K45" s="2">
        <v>1059.552451941938</v>
      </c>
      <c r="L45" s="2">
        <v>46.2788012311633</v>
      </c>
      <c r="M45" s="2">
        <v>147.12781958899711</v>
      </c>
      <c r="N45" s="2">
        <v>2.0078</v>
      </c>
      <c r="O45" s="2">
        <v>25.018999999999998</v>
      </c>
      <c r="P45" s="2">
        <v>0.55300000000000005</v>
      </c>
      <c r="Q45" s="2">
        <v>1.2913999999999999</v>
      </c>
      <c r="R45" s="2">
        <v>1.5322</v>
      </c>
      <c r="S45" s="2">
        <v>34.646799999999999</v>
      </c>
      <c r="T45" s="2">
        <v>79.100400000000008</v>
      </c>
      <c r="U45" s="2">
        <v>108.81480000000001</v>
      </c>
      <c r="V45" s="2">
        <v>75.147200000000012</v>
      </c>
      <c r="W45" s="2">
        <v>45.192000000000007</v>
      </c>
      <c r="X45" s="2">
        <v>35.199799999999996</v>
      </c>
      <c r="Y45" s="2">
        <v>95.81</v>
      </c>
      <c r="Z45" s="2">
        <v>30.18</v>
      </c>
      <c r="AA45" s="2">
        <v>31.67</v>
      </c>
      <c r="AB45" s="2">
        <v>31.05</v>
      </c>
      <c r="AC45" s="2">
        <v>2.44</v>
      </c>
      <c r="AD45" s="2">
        <v>26.4</v>
      </c>
      <c r="AE45" s="2">
        <v>35.29</v>
      </c>
      <c r="AF45" s="2">
        <v>61.7</v>
      </c>
      <c r="AG45" s="2">
        <v>48.5</v>
      </c>
      <c r="AH45" s="2">
        <v>13.2</v>
      </c>
      <c r="AI45" s="2">
        <v>31.86</v>
      </c>
      <c r="AJ45" s="2">
        <v>2.2599999999999998</v>
      </c>
      <c r="AK45" s="2">
        <v>1.1619999999999999</v>
      </c>
      <c r="AL45" s="2">
        <v>1.0740000000000001</v>
      </c>
      <c r="AM45" s="2">
        <v>0.997</v>
      </c>
      <c r="AN45" s="2">
        <v>0.92400000000000004</v>
      </c>
      <c r="AO45" s="2">
        <v>1.248</v>
      </c>
      <c r="AP45" s="2">
        <v>0.875</v>
      </c>
      <c r="AQ45" s="2">
        <v>1.2130000000000001</v>
      </c>
      <c r="AR45" s="2">
        <v>1.3979999999999999</v>
      </c>
      <c r="AS45" s="2">
        <v>18.48</v>
      </c>
      <c r="AT45" s="2">
        <v>252.9</v>
      </c>
      <c r="AU45" s="2">
        <v>1.31</v>
      </c>
      <c r="AV45" s="2">
        <v>0.46</v>
      </c>
      <c r="AW45" s="2">
        <v>0.14799999999999999</v>
      </c>
      <c r="AX45" s="2">
        <v>0.104</v>
      </c>
      <c r="AY45" s="2">
        <v>0.748</v>
      </c>
      <c r="AZ45" s="2">
        <v>0.36</v>
      </c>
      <c r="BA45" s="2">
        <v>1.08</v>
      </c>
      <c r="BB45" s="2">
        <v>5.2</v>
      </c>
      <c r="BC45" s="2">
        <v>67</v>
      </c>
      <c r="BD45" s="2">
        <v>1.7</v>
      </c>
      <c r="BE45" s="2">
        <v>5.2</v>
      </c>
      <c r="BF45" s="2">
        <v>40</v>
      </c>
      <c r="BG45" s="2">
        <v>101</v>
      </c>
      <c r="BH45" s="2">
        <v>426</v>
      </c>
      <c r="BI45" s="2">
        <v>133</v>
      </c>
      <c r="BJ45" s="2">
        <v>19</v>
      </c>
      <c r="BK45" s="2">
        <v>6.7</v>
      </c>
      <c r="BL45" s="2">
        <v>5.2</v>
      </c>
      <c r="BM45" s="2">
        <v>0.9</v>
      </c>
      <c r="BN45" s="2">
        <v>0</v>
      </c>
      <c r="BO45" s="2">
        <v>0.26</v>
      </c>
      <c r="BP45" s="2">
        <v>2.13</v>
      </c>
      <c r="BQ45" s="2">
        <v>1.0900000000000001</v>
      </c>
    </row>
    <row r="46" spans="1:69" x14ac:dyDescent="0.2">
      <c r="A46">
        <v>20</v>
      </c>
      <c r="B46">
        <v>48</v>
      </c>
      <c r="C46" t="s">
        <v>18</v>
      </c>
      <c r="D46" t="s">
        <v>5</v>
      </c>
      <c r="E46">
        <v>2</v>
      </c>
      <c r="F46" s="2">
        <v>205.88233134465352</v>
      </c>
      <c r="G46" s="2">
        <v>140.12573964497039</v>
      </c>
      <c r="H46" s="2">
        <v>574.52299219825602</v>
      </c>
      <c r="I46" s="2">
        <v>558.26094674556214</v>
      </c>
      <c r="J46" s="2">
        <v>780.40532354290951</v>
      </c>
      <c r="K46" s="2">
        <v>698.38668639053253</v>
      </c>
      <c r="L46" s="2">
        <v>-65.756591699683128</v>
      </c>
      <c r="M46" s="2">
        <v>-82.018637152376982</v>
      </c>
      <c r="N46" s="2">
        <v>1.7469000000000001</v>
      </c>
      <c r="O46" s="2">
        <v>24.761000000000003</v>
      </c>
      <c r="P46" s="2">
        <v>0.40300000000000002</v>
      </c>
      <c r="Q46" s="2">
        <v>0.89219999999999999</v>
      </c>
      <c r="R46" s="2">
        <v>1.1898</v>
      </c>
      <c r="S46" s="2">
        <v>29.991599999999998</v>
      </c>
      <c r="T46" s="2">
        <v>75.774000000000001</v>
      </c>
      <c r="U46" s="2">
        <v>96.827600000000004</v>
      </c>
      <c r="V46" s="2">
        <v>67.622800000000012</v>
      </c>
      <c r="W46" s="2">
        <v>46.271600000000007</v>
      </c>
      <c r="X46" s="2">
        <v>30.394599999999997</v>
      </c>
      <c r="Y46" s="2">
        <v>96.69</v>
      </c>
      <c r="Z46" s="2">
        <v>27.52</v>
      </c>
      <c r="AA46" s="2">
        <v>41.65</v>
      </c>
      <c r="AB46" s="2">
        <v>21.74</v>
      </c>
      <c r="AC46" s="2">
        <v>5.26</v>
      </c>
      <c r="AD46" s="2">
        <v>24.4</v>
      </c>
      <c r="AE46" s="2">
        <v>48.75</v>
      </c>
      <c r="AF46" s="2">
        <v>73.2</v>
      </c>
      <c r="AG46" s="2">
        <v>49</v>
      </c>
      <c r="AH46" s="2">
        <v>24.2</v>
      </c>
      <c r="AI46" s="2">
        <v>16.38</v>
      </c>
      <c r="AJ46" s="2">
        <v>7.16</v>
      </c>
      <c r="AK46" s="2">
        <v>1.123</v>
      </c>
      <c r="AL46" s="2">
        <v>1.0680000000000001</v>
      </c>
      <c r="AM46" s="2">
        <v>1.0580000000000001</v>
      </c>
      <c r="AN46" s="2">
        <v>0.95099999999999996</v>
      </c>
      <c r="AO46" s="2">
        <v>1.2</v>
      </c>
      <c r="AP46" s="2">
        <v>0.88700000000000001</v>
      </c>
      <c r="AQ46" s="2">
        <v>1.224</v>
      </c>
      <c r="AR46" s="2">
        <v>1.653</v>
      </c>
      <c r="AS46" s="2">
        <v>26.42</v>
      </c>
      <c r="AT46" s="2">
        <v>253</v>
      </c>
      <c r="AU46" s="2">
        <v>1.135</v>
      </c>
      <c r="AV46" s="2">
        <v>0.35</v>
      </c>
      <c r="AW46" s="2">
        <v>0.11899999999999999</v>
      </c>
      <c r="AX46" s="2">
        <v>0.214</v>
      </c>
      <c r="AY46" s="2">
        <v>0.66600000000000004</v>
      </c>
      <c r="AZ46" s="2">
        <v>0.6</v>
      </c>
      <c r="BA46" s="2">
        <v>1.0900000000000001</v>
      </c>
      <c r="BB46" s="2">
        <v>5.4</v>
      </c>
      <c r="BC46" s="2">
        <v>47</v>
      </c>
      <c r="BD46" s="2">
        <v>2.8</v>
      </c>
      <c r="BE46" s="2">
        <v>4.5999999999999996</v>
      </c>
      <c r="BF46" s="2">
        <v>144</v>
      </c>
      <c r="BG46" s="2">
        <v>61</v>
      </c>
      <c r="BH46" s="2">
        <v>334</v>
      </c>
      <c r="BI46" s="2">
        <v>86</v>
      </c>
      <c r="BJ46" s="2">
        <v>21</v>
      </c>
      <c r="BK46" s="2">
        <v>15</v>
      </c>
      <c r="BL46" s="2">
        <v>4.9000000000000004</v>
      </c>
      <c r="BM46" s="2">
        <v>1.6</v>
      </c>
      <c r="BN46" s="2">
        <v>0</v>
      </c>
      <c r="BO46" s="2">
        <v>0.16</v>
      </c>
      <c r="BP46" s="2">
        <v>1.67</v>
      </c>
      <c r="BQ46" s="2">
        <v>0.71</v>
      </c>
    </row>
    <row r="47" spans="1:69" x14ac:dyDescent="0.2">
      <c r="A47">
        <v>20</v>
      </c>
      <c r="B47">
        <v>49</v>
      </c>
      <c r="C47" t="s">
        <v>18</v>
      </c>
      <c r="D47" t="s">
        <v>0</v>
      </c>
      <c r="E47">
        <v>4</v>
      </c>
      <c r="F47" s="2">
        <v>330.76106557377045</v>
      </c>
      <c r="G47" s="2">
        <v>369.56431605777402</v>
      </c>
      <c r="H47" s="2">
        <v>656.86352459016393</v>
      </c>
      <c r="I47" s="2">
        <v>677.31996601529306</v>
      </c>
      <c r="J47" s="2">
        <v>987.62459016393439</v>
      </c>
      <c r="K47" s="2">
        <v>1046.884282073067</v>
      </c>
      <c r="L47" s="2">
        <v>38.80325048400357</v>
      </c>
      <c r="M47" s="2">
        <v>59.259691909132584</v>
      </c>
      <c r="N47" s="2">
        <v>1.9876</v>
      </c>
      <c r="O47" s="2">
        <v>23.004999999999999</v>
      </c>
      <c r="P47" s="2">
        <v>0.39300000000000002</v>
      </c>
      <c r="Q47" s="2">
        <v>2.3473999999999999</v>
      </c>
      <c r="R47" s="2">
        <v>1.4306000000000001</v>
      </c>
      <c r="S47" s="2">
        <v>37.494</v>
      </c>
      <c r="T47" s="2">
        <v>108.8156</v>
      </c>
      <c r="U47" s="2">
        <v>106.74680000000001</v>
      </c>
      <c r="V47" s="2">
        <v>70.290400000000005</v>
      </c>
      <c r="W47" s="2">
        <v>73.275999999999996</v>
      </c>
      <c r="X47" s="2">
        <v>37.887</v>
      </c>
      <c r="Y47" s="2">
        <v>96.84</v>
      </c>
      <c r="Z47" s="2">
        <v>32.299999999999997</v>
      </c>
      <c r="AA47" s="2">
        <v>24.21</v>
      </c>
      <c r="AB47" s="2">
        <v>33.06</v>
      </c>
      <c r="AC47" s="2">
        <v>6.89</v>
      </c>
      <c r="AD47" s="2">
        <v>28.56</v>
      </c>
      <c r="AE47" s="2">
        <v>27.8</v>
      </c>
      <c r="AF47" s="2">
        <v>56.4</v>
      </c>
      <c r="AG47" s="2">
        <v>49</v>
      </c>
      <c r="AH47" s="2">
        <v>7.3</v>
      </c>
      <c r="AI47" s="2">
        <v>32.22</v>
      </c>
      <c r="AJ47" s="2">
        <v>8.26</v>
      </c>
      <c r="AK47" s="2">
        <v>1.169</v>
      </c>
      <c r="AL47" s="2">
        <v>1.08</v>
      </c>
      <c r="AM47" s="2">
        <v>0.997</v>
      </c>
      <c r="AN47" s="2">
        <v>0.92400000000000004</v>
      </c>
      <c r="AO47" s="2">
        <v>1.2629999999999999</v>
      </c>
      <c r="AP47" s="2">
        <v>0.88400000000000001</v>
      </c>
      <c r="AQ47" s="2">
        <v>1.226</v>
      </c>
      <c r="AR47" s="2">
        <v>1.655</v>
      </c>
      <c r="AS47" s="2">
        <v>20.02</v>
      </c>
      <c r="AT47" s="2">
        <v>331.5</v>
      </c>
      <c r="AU47" s="2">
        <v>1.3460000000000001</v>
      </c>
      <c r="AV47" s="2">
        <v>0.35</v>
      </c>
      <c r="AW47" s="2">
        <v>8.8999999999999996E-2</v>
      </c>
      <c r="AX47" s="2">
        <v>0.28999999999999998</v>
      </c>
      <c r="AY47" s="2">
        <v>0.621</v>
      </c>
      <c r="AZ47" s="2">
        <v>0.66</v>
      </c>
      <c r="BA47" s="2">
        <v>1.0900000000000001</v>
      </c>
      <c r="BB47" s="2">
        <v>4.7</v>
      </c>
      <c r="BC47" s="2">
        <v>63</v>
      </c>
      <c r="BD47" s="2">
        <v>1.8</v>
      </c>
      <c r="BE47" s="2">
        <v>5.2</v>
      </c>
      <c r="BF47" s="2">
        <v>94</v>
      </c>
      <c r="BG47" s="2">
        <v>103</v>
      </c>
      <c r="BH47" s="2">
        <v>371</v>
      </c>
      <c r="BI47" s="2">
        <v>104</v>
      </c>
      <c r="BJ47" s="2">
        <v>17</v>
      </c>
      <c r="BK47" s="2">
        <v>12.6</v>
      </c>
      <c r="BL47" s="2">
        <v>2.9</v>
      </c>
      <c r="BM47" s="2">
        <v>1.4</v>
      </c>
      <c r="BN47" s="2">
        <v>0</v>
      </c>
      <c r="BO47" s="2">
        <v>0.26</v>
      </c>
      <c r="BP47" s="2">
        <v>1.86</v>
      </c>
      <c r="BQ47" s="2">
        <v>0.86</v>
      </c>
    </row>
    <row r="48" spans="1:69" x14ac:dyDescent="0.2">
      <c r="A48">
        <v>10</v>
      </c>
      <c r="B48">
        <v>105</v>
      </c>
      <c r="C48" t="s">
        <v>18</v>
      </c>
      <c r="D48" t="s">
        <v>7</v>
      </c>
      <c r="E48">
        <v>4</v>
      </c>
      <c r="F48" s="2">
        <v>84.367395626242526</v>
      </c>
      <c r="G48" s="2">
        <v>98.242808912896422</v>
      </c>
      <c r="H48" s="2">
        <v>185.80914512922479</v>
      </c>
      <c r="I48" s="2">
        <v>220.02295746117508</v>
      </c>
      <c r="J48" s="2">
        <v>270.17654075546733</v>
      </c>
      <c r="K48" s="2">
        <v>318.26576637407152</v>
      </c>
      <c r="L48" s="2">
        <v>13.875413286653895</v>
      </c>
      <c r="M48" s="2">
        <v>48.089225618604189</v>
      </c>
      <c r="N48" s="2">
        <v>0.46050000000000002</v>
      </c>
      <c r="O48" s="2">
        <v>9.4336000000000002</v>
      </c>
      <c r="P48" s="2">
        <v>0.64580000000000004</v>
      </c>
      <c r="Q48" s="2">
        <v>5.6552894211576854</v>
      </c>
      <c r="R48" s="2">
        <v>26.860660660660663</v>
      </c>
      <c r="S48" s="2">
        <v>10.711399999999999</v>
      </c>
      <c r="T48" s="2">
        <v>19.821556886227548</v>
      </c>
      <c r="U48" s="2">
        <v>13.815815815815817</v>
      </c>
      <c r="V48" s="2">
        <v>29.319276476476482</v>
      </c>
      <c r="W48" s="2">
        <v>14.119646307385235</v>
      </c>
      <c r="X48" s="2">
        <v>11.357199999999999</v>
      </c>
      <c r="Y48" s="2">
        <v>113.63</v>
      </c>
      <c r="Z48" s="2">
        <v>42.8</v>
      </c>
      <c r="AA48" s="2">
        <v>30.12</v>
      </c>
      <c r="AB48" s="2">
        <v>34.53</v>
      </c>
      <c r="AC48" s="2">
        <v>5.76</v>
      </c>
      <c r="AD48" s="2">
        <v>8.0399999999999991</v>
      </c>
      <c r="AE48" s="2">
        <v>51.69</v>
      </c>
      <c r="AF48" s="2">
        <v>59.7</v>
      </c>
      <c r="AG48" s="2">
        <v>57.5</v>
      </c>
      <c r="AH48" s="2">
        <v>2.2000000000000002</v>
      </c>
      <c r="AI48" s="2">
        <v>44.2</v>
      </c>
      <c r="AJ48" s="2">
        <v>9.6999999999999993</v>
      </c>
      <c r="AK48" s="2">
        <v>1.296</v>
      </c>
      <c r="AL48" s="2">
        <v>0.54900000000000004</v>
      </c>
      <c r="AM48" s="2">
        <v>0.81899999999999995</v>
      </c>
      <c r="AN48" s="2">
        <v>0.42399999999999999</v>
      </c>
      <c r="AO48" s="2">
        <v>0.71199999999999997</v>
      </c>
      <c r="AP48" s="2">
        <v>0.188</v>
      </c>
      <c r="AQ48" s="2">
        <v>1.4379999999999999</v>
      </c>
      <c r="AR48" s="2">
        <v>0.46600000000000003</v>
      </c>
      <c r="AS48" s="2">
        <v>9.1300000000000008</v>
      </c>
      <c r="AT48" s="2">
        <v>88.3</v>
      </c>
      <c r="AU48" s="2">
        <v>1.593</v>
      </c>
      <c r="AV48" s="2">
        <v>0.13</v>
      </c>
      <c r="AW48" s="2">
        <v>9.7000000000000003E-2</v>
      </c>
      <c r="AX48" s="2">
        <v>0.185</v>
      </c>
      <c r="AY48" s="2">
        <v>0.71799999999999997</v>
      </c>
      <c r="AZ48" s="2">
        <v>0.51</v>
      </c>
      <c r="BA48" s="2">
        <v>1.36</v>
      </c>
      <c r="BB48" s="2">
        <v>4.4000000000000004</v>
      </c>
      <c r="BC48" s="2">
        <v>77</v>
      </c>
      <c r="BD48" s="2">
        <v>1</v>
      </c>
      <c r="BE48" s="2">
        <v>5.9</v>
      </c>
      <c r="BF48" s="2">
        <v>124</v>
      </c>
      <c r="BG48" s="2">
        <v>248</v>
      </c>
      <c r="BH48" s="2">
        <v>412</v>
      </c>
      <c r="BI48" s="2">
        <v>90</v>
      </c>
      <c r="BJ48" s="2">
        <v>7</v>
      </c>
      <c r="BK48" s="2">
        <v>11.8</v>
      </c>
      <c r="BL48" s="2">
        <v>3.2</v>
      </c>
      <c r="BM48" s="2">
        <v>1.2</v>
      </c>
      <c r="BN48" s="2">
        <v>0</v>
      </c>
      <c r="BO48" s="2">
        <v>0.63</v>
      </c>
      <c r="BP48" s="2">
        <v>2.06</v>
      </c>
      <c r="BQ48" s="2">
        <v>0.74</v>
      </c>
    </row>
    <row r="49" spans="1:69" x14ac:dyDescent="0.2">
      <c r="A49">
        <v>20</v>
      </c>
      <c r="B49">
        <v>169</v>
      </c>
      <c r="C49" t="s">
        <v>18</v>
      </c>
      <c r="D49" t="s">
        <v>5</v>
      </c>
      <c r="E49">
        <v>1</v>
      </c>
      <c r="F49" s="2">
        <v>57.120603015075282</v>
      </c>
      <c r="G49" s="2">
        <v>54.371300448430539</v>
      </c>
      <c r="H49" s="2">
        <v>396.0361809045225</v>
      </c>
      <c r="I49" s="2">
        <v>517.66008968609856</v>
      </c>
      <c r="J49" s="2">
        <v>453.15678391959779</v>
      </c>
      <c r="K49" s="2">
        <v>572.03139013452915</v>
      </c>
      <c r="L49" s="2">
        <v>-2.7493025666447437</v>
      </c>
      <c r="M49" s="2">
        <v>118.87460621493136</v>
      </c>
      <c r="N49" s="2">
        <v>1.8681000000000001</v>
      </c>
      <c r="O49" s="2">
        <v>31.570999999999998</v>
      </c>
      <c r="P49" s="2">
        <v>0.77339999999999998</v>
      </c>
      <c r="Q49" s="2">
        <v>0.94099999999999995</v>
      </c>
      <c r="R49" s="2">
        <v>1.1314000000000002</v>
      </c>
      <c r="S49" s="2">
        <v>30.468799999999998</v>
      </c>
      <c r="T49" s="2">
        <v>86.692400000000006</v>
      </c>
      <c r="U49" s="2">
        <v>127.16680000000001</v>
      </c>
      <c r="V49" s="2">
        <v>97.056000000000012</v>
      </c>
      <c r="W49" s="2">
        <v>56.391200000000012</v>
      </c>
      <c r="X49" s="2">
        <v>31.242199999999997</v>
      </c>
      <c r="Y49" s="2">
        <v>97.1</v>
      </c>
      <c r="Z49" s="2">
        <v>16.41</v>
      </c>
      <c r="AA49" s="2">
        <v>41.56</v>
      </c>
      <c r="AB49" s="2">
        <v>33.94</v>
      </c>
      <c r="AC49" s="2">
        <v>4.83</v>
      </c>
      <c r="AD49" s="2">
        <v>19.100000000000001</v>
      </c>
      <c r="AE49" s="2">
        <v>49.25</v>
      </c>
      <c r="AF49" s="2">
        <v>68.400000000000006</v>
      </c>
      <c r="AG49" s="2">
        <v>49.2</v>
      </c>
      <c r="AH49" s="2">
        <v>19.2</v>
      </c>
      <c r="AI49" s="2">
        <v>24.24</v>
      </c>
      <c r="AJ49" s="2">
        <v>4.51</v>
      </c>
      <c r="AK49" s="2">
        <v>0.80800000000000005</v>
      </c>
      <c r="AL49" s="2">
        <v>0.92200000000000004</v>
      </c>
      <c r="AM49" s="2">
        <v>1.179</v>
      </c>
      <c r="AN49" s="2">
        <v>1.141</v>
      </c>
      <c r="AO49" s="2">
        <v>0.745</v>
      </c>
      <c r="AP49" s="2">
        <v>1.1639999999999999</v>
      </c>
      <c r="AQ49" s="2">
        <v>1.2290000000000001</v>
      </c>
      <c r="AR49" s="2">
        <v>1.6459999999999999</v>
      </c>
      <c r="AS49" s="2">
        <v>28.41</v>
      </c>
      <c r="AT49" s="2">
        <v>198.8</v>
      </c>
      <c r="AU49" s="2">
        <v>1.119</v>
      </c>
      <c r="AV49" s="2">
        <v>5.52</v>
      </c>
      <c r="AW49" s="2">
        <v>6.9000000000000006E-2</v>
      </c>
      <c r="AX49" s="2">
        <v>0.13200000000000001</v>
      </c>
      <c r="AY49" s="2">
        <v>0.79900000000000004</v>
      </c>
      <c r="AZ49" s="2">
        <v>1.02</v>
      </c>
      <c r="BA49" s="2">
        <v>1.08</v>
      </c>
      <c r="BB49" s="2">
        <v>6.1</v>
      </c>
      <c r="BC49" s="2">
        <v>18</v>
      </c>
      <c r="BD49" s="2">
        <v>5</v>
      </c>
      <c r="BE49" s="2">
        <v>3.9</v>
      </c>
      <c r="BF49" s="2">
        <v>39</v>
      </c>
      <c r="BG49" s="2">
        <v>44</v>
      </c>
      <c r="BH49" s="2">
        <v>118</v>
      </c>
      <c r="BI49" s="2">
        <v>48</v>
      </c>
      <c r="BJ49" s="2">
        <v>29</v>
      </c>
      <c r="BK49" s="2">
        <v>2.5</v>
      </c>
      <c r="BL49" s="2">
        <v>1.4</v>
      </c>
      <c r="BM49" s="2">
        <v>0.4</v>
      </c>
      <c r="BN49" s="2">
        <v>0</v>
      </c>
      <c r="BO49" s="2">
        <v>0.11</v>
      </c>
      <c r="BP49" s="2">
        <v>0.59</v>
      </c>
      <c r="BQ49" s="2">
        <v>0.39</v>
      </c>
    </row>
    <row r="50" spans="1:69" x14ac:dyDescent="0.2">
      <c r="A50">
        <v>20</v>
      </c>
      <c r="B50">
        <v>201</v>
      </c>
      <c r="C50" t="s">
        <v>18</v>
      </c>
      <c r="D50" t="s">
        <v>0</v>
      </c>
      <c r="E50">
        <v>1</v>
      </c>
      <c r="F50" s="2">
        <v>373.82719382835108</v>
      </c>
      <c r="G50" s="2">
        <v>158.18426966292139</v>
      </c>
      <c r="H50" s="2">
        <v>754.49091610414678</v>
      </c>
      <c r="I50" s="2">
        <v>502.46103370786528</v>
      </c>
      <c r="J50" s="2">
        <v>1128.3181099324979</v>
      </c>
      <c r="K50" s="2">
        <v>660.64530337078668</v>
      </c>
      <c r="L50" s="2">
        <v>-215.64292416542969</v>
      </c>
      <c r="M50" s="2">
        <v>-467.67280656171124</v>
      </c>
      <c r="N50" s="2">
        <v>1.8948</v>
      </c>
      <c r="O50" s="2">
        <v>29.615000000000002</v>
      </c>
      <c r="P50" s="2">
        <v>0.41759999999999997</v>
      </c>
      <c r="Q50" s="2">
        <v>1.6505999999999998</v>
      </c>
      <c r="R50" s="2">
        <v>0.79859999999999998</v>
      </c>
      <c r="S50" s="2">
        <v>30.744599999999998</v>
      </c>
      <c r="T50" s="2">
        <v>103.87</v>
      </c>
      <c r="U50" s="2">
        <v>77.379600000000011</v>
      </c>
      <c r="V50" s="2">
        <v>47.016000000000005</v>
      </c>
      <c r="W50" s="2">
        <v>74.358400000000003</v>
      </c>
      <c r="X50" s="2">
        <v>31.162199999999999</v>
      </c>
      <c r="Y50" s="2">
        <v>90.82</v>
      </c>
      <c r="Z50" s="2">
        <v>18.13</v>
      </c>
      <c r="AA50" s="2">
        <v>34.5</v>
      </c>
      <c r="AB50" s="2">
        <v>32.32</v>
      </c>
      <c r="AC50" s="2">
        <v>5.09</v>
      </c>
      <c r="AD50" s="2">
        <v>16.510000000000002</v>
      </c>
      <c r="AE50" s="2">
        <v>39.35</v>
      </c>
      <c r="AF50" s="2">
        <v>55.9</v>
      </c>
      <c r="AG50" s="2">
        <v>46</v>
      </c>
      <c r="AH50" s="2">
        <v>9.9</v>
      </c>
      <c r="AI50" s="2">
        <v>27.86</v>
      </c>
      <c r="AJ50" s="2">
        <v>7.1</v>
      </c>
      <c r="AK50" s="2">
        <v>0.86699999999999999</v>
      </c>
      <c r="AL50" s="2">
        <v>0.84199999999999997</v>
      </c>
      <c r="AM50" s="2">
        <v>1.0609999999999999</v>
      </c>
      <c r="AN50" s="2">
        <v>0.97099999999999997</v>
      </c>
      <c r="AO50" s="2">
        <v>0.73</v>
      </c>
      <c r="AP50" s="2">
        <v>0.91100000000000003</v>
      </c>
      <c r="AQ50" s="2">
        <v>1.1499999999999999</v>
      </c>
      <c r="AR50" s="2">
        <v>1.782</v>
      </c>
      <c r="AS50" s="2">
        <v>26.19</v>
      </c>
      <c r="AT50" s="2">
        <v>323.5</v>
      </c>
      <c r="AU50" s="2">
        <v>1.1519999999999999</v>
      </c>
      <c r="AV50" s="2">
        <v>0.65</v>
      </c>
      <c r="AW50" s="2">
        <v>6.4000000000000001E-2</v>
      </c>
      <c r="AX50" s="2">
        <v>0.17799999999999999</v>
      </c>
      <c r="AY50" s="2">
        <v>0.75800000000000001</v>
      </c>
      <c r="AZ50" s="2">
        <v>0.92</v>
      </c>
      <c r="BA50" s="2">
        <v>1.04</v>
      </c>
      <c r="BB50" s="2">
        <v>4.5999999999999996</v>
      </c>
      <c r="BC50" s="2">
        <v>53</v>
      </c>
      <c r="BD50" s="2">
        <v>2.2000000000000002</v>
      </c>
      <c r="BE50" s="2">
        <v>4.9000000000000004</v>
      </c>
      <c r="BF50" s="2">
        <v>25</v>
      </c>
      <c r="BG50" s="2">
        <v>55</v>
      </c>
      <c r="BH50" s="2">
        <v>322</v>
      </c>
      <c r="BI50" s="2">
        <v>82</v>
      </c>
      <c r="BJ50" s="2">
        <v>19</v>
      </c>
      <c r="BK50" s="2">
        <v>7.7</v>
      </c>
      <c r="BL50" s="2">
        <v>1.5</v>
      </c>
      <c r="BM50" s="2">
        <v>0.8</v>
      </c>
      <c r="BN50" s="2">
        <v>0.1</v>
      </c>
      <c r="BO50" s="2">
        <v>0.14000000000000001</v>
      </c>
      <c r="BP50" s="2">
        <v>1.61</v>
      </c>
      <c r="BQ50" s="2">
        <v>0.67</v>
      </c>
    </row>
    <row r="51" spans="1:69" x14ac:dyDescent="0.2">
      <c r="A51">
        <v>20</v>
      </c>
      <c r="B51">
        <v>250</v>
      </c>
      <c r="C51" t="s">
        <v>18</v>
      </c>
      <c r="D51" t="s">
        <v>7</v>
      </c>
      <c r="E51">
        <v>3</v>
      </c>
      <c r="F51" s="2">
        <v>56.902860735617701</v>
      </c>
      <c r="G51" s="2">
        <v>93.988449848024345</v>
      </c>
      <c r="H51" s="2">
        <v>82.224633762967713</v>
      </c>
      <c r="I51" s="2">
        <v>155.19556231003071</v>
      </c>
      <c r="J51" s="2">
        <v>139.12749449858541</v>
      </c>
      <c r="K51" s="2">
        <v>249.18401215805505</v>
      </c>
      <c r="L51" s="2">
        <v>37.085589112406645</v>
      </c>
      <c r="M51" s="2">
        <v>110.05651765946965</v>
      </c>
      <c r="N51" s="2" t="s">
        <v>14</v>
      </c>
      <c r="O51" s="2" t="s">
        <v>14</v>
      </c>
      <c r="P51" s="2" t="s">
        <v>14</v>
      </c>
      <c r="Q51" s="2">
        <v>0.94099999999999995</v>
      </c>
      <c r="R51" s="2">
        <v>1.5202</v>
      </c>
      <c r="S51" s="2" t="s">
        <v>14</v>
      </c>
      <c r="T51" s="2">
        <v>7.0996000000000006</v>
      </c>
      <c r="U51" s="2">
        <v>4.7875999999999994</v>
      </c>
      <c r="V51" s="2" t="s">
        <v>14</v>
      </c>
      <c r="W51" s="2" t="s">
        <v>14</v>
      </c>
      <c r="X51" s="2" t="s">
        <v>14</v>
      </c>
      <c r="Y51" s="2">
        <v>124.69</v>
      </c>
      <c r="Z51" s="2">
        <v>13.49</v>
      </c>
      <c r="AA51" s="2">
        <v>38.24</v>
      </c>
      <c r="AB51" s="2">
        <v>66.47</v>
      </c>
      <c r="AC51" s="2">
        <v>5.7</v>
      </c>
      <c r="AD51" s="2">
        <v>3.07</v>
      </c>
      <c r="AE51" s="2">
        <v>42.39</v>
      </c>
      <c r="AF51" s="2">
        <v>45.5</v>
      </c>
      <c r="AG51" s="2">
        <v>63.1</v>
      </c>
      <c r="AH51" s="2">
        <v>-17.7</v>
      </c>
      <c r="AI51" s="2">
        <v>65.97</v>
      </c>
      <c r="AJ51" s="2">
        <v>13.26</v>
      </c>
      <c r="AK51" s="2">
        <v>0.58499999999999996</v>
      </c>
      <c r="AL51" s="2">
        <v>0.36699999999999999</v>
      </c>
      <c r="AM51" s="2">
        <v>0.879</v>
      </c>
      <c r="AN51" s="2">
        <v>0.627</v>
      </c>
      <c r="AO51" s="2">
        <v>0.215</v>
      </c>
      <c r="AP51" s="2">
        <v>0.22800000000000001</v>
      </c>
      <c r="AQ51" s="2">
        <v>1.5780000000000001</v>
      </c>
      <c r="AR51" s="2">
        <v>0.23300000000000001</v>
      </c>
      <c r="AS51" s="2">
        <v>3.17</v>
      </c>
      <c r="AT51" s="2">
        <v>46</v>
      </c>
      <c r="AU51" s="2">
        <v>1.5169999999999999</v>
      </c>
      <c r="AV51" s="2">
        <v>0.12</v>
      </c>
      <c r="AW51" s="2">
        <v>4.2000000000000003E-2</v>
      </c>
      <c r="AX51" s="2">
        <v>0.114</v>
      </c>
      <c r="AY51" s="2">
        <v>0.84399999999999997</v>
      </c>
      <c r="AZ51" s="2">
        <v>0.13</v>
      </c>
      <c r="BA51" s="2">
        <v>1.37</v>
      </c>
      <c r="BB51" s="2">
        <v>2.2000000000000002</v>
      </c>
      <c r="BC51" s="2">
        <v>87</v>
      </c>
      <c r="BD51" s="2">
        <v>0.3</v>
      </c>
      <c r="BE51" s="2">
        <v>6.2</v>
      </c>
      <c r="BF51" s="2">
        <v>192</v>
      </c>
      <c r="BG51" s="2">
        <v>86</v>
      </c>
      <c r="BH51" s="2">
        <v>233</v>
      </c>
      <c r="BI51" s="2">
        <v>63</v>
      </c>
      <c r="BJ51" s="2">
        <v>7</v>
      </c>
      <c r="BK51" s="2">
        <v>9.6999999999999993</v>
      </c>
      <c r="BL51" s="2">
        <v>3.7</v>
      </c>
      <c r="BM51" s="2">
        <v>1.2</v>
      </c>
      <c r="BN51" s="2">
        <v>0</v>
      </c>
      <c r="BO51" s="2">
        <v>0.22</v>
      </c>
      <c r="BP51" s="2">
        <v>1.17</v>
      </c>
      <c r="BQ51" s="2">
        <v>0.52</v>
      </c>
    </row>
    <row r="52" spans="1:69" x14ac:dyDescent="0.2">
      <c r="A52">
        <v>20</v>
      </c>
      <c r="B52">
        <v>272</v>
      </c>
      <c r="C52" t="s">
        <v>18</v>
      </c>
      <c r="D52" t="s">
        <v>5</v>
      </c>
      <c r="E52">
        <v>3</v>
      </c>
      <c r="F52" s="2">
        <v>125.01843532145628</v>
      </c>
      <c r="G52" s="2">
        <v>232.84789156626516</v>
      </c>
      <c r="H52" s="2">
        <v>253.19154144074369</v>
      </c>
      <c r="I52" s="2">
        <v>430.14388554216879</v>
      </c>
      <c r="J52" s="2">
        <v>378.20997676219997</v>
      </c>
      <c r="K52" s="2">
        <v>662.99177710843401</v>
      </c>
      <c r="L52" s="2">
        <v>107.82945624480888</v>
      </c>
      <c r="M52" s="2">
        <v>284.78180034623404</v>
      </c>
      <c r="N52" s="2">
        <v>1.5422</v>
      </c>
      <c r="O52" s="2">
        <v>25.384999999999998</v>
      </c>
      <c r="P52" s="2">
        <v>0.5776</v>
      </c>
      <c r="Q52" s="2">
        <v>1.0242</v>
      </c>
      <c r="R52" s="2">
        <v>12.1426</v>
      </c>
      <c r="S52" s="2">
        <v>27.010200000000001</v>
      </c>
      <c r="T52" s="2">
        <v>47.474800000000002</v>
      </c>
      <c r="U52" s="2">
        <v>65.144400000000005</v>
      </c>
      <c r="V52" s="2">
        <v>49.699200000000005</v>
      </c>
      <c r="W52" s="2">
        <v>20.911200000000001</v>
      </c>
      <c r="X52" s="2">
        <v>27.587800000000001</v>
      </c>
      <c r="Y52" s="2">
        <v>103.26</v>
      </c>
      <c r="Z52" s="2">
        <v>20.55</v>
      </c>
      <c r="AA52" s="2">
        <v>44.61</v>
      </c>
      <c r="AB52" s="2">
        <v>33.01</v>
      </c>
      <c r="AC52" s="2">
        <v>4.2699999999999996</v>
      </c>
      <c r="AD52" s="2">
        <v>17.559999999999999</v>
      </c>
      <c r="AE52" s="2">
        <v>52.56</v>
      </c>
      <c r="AF52" s="2">
        <v>70.099999999999994</v>
      </c>
      <c r="AG52" s="2">
        <v>52.3</v>
      </c>
      <c r="AH52" s="2">
        <v>17.8</v>
      </c>
      <c r="AI52" s="2">
        <v>26.75</v>
      </c>
      <c r="AJ52" s="2">
        <v>6.39</v>
      </c>
      <c r="AK52" s="2">
        <v>0.89200000000000002</v>
      </c>
      <c r="AL52" s="2">
        <v>0.84799999999999998</v>
      </c>
      <c r="AM52" s="2">
        <v>1.0760000000000001</v>
      </c>
      <c r="AN52" s="2">
        <v>0.95099999999999996</v>
      </c>
      <c r="AO52" s="2">
        <v>0.75700000000000001</v>
      </c>
      <c r="AP52" s="2">
        <v>0.85499999999999998</v>
      </c>
      <c r="AQ52" s="2">
        <v>1.3069999999999999</v>
      </c>
      <c r="AR52" s="2">
        <v>1.171</v>
      </c>
      <c r="AS52" s="2">
        <v>21.1</v>
      </c>
      <c r="AT52" s="2">
        <v>123.1</v>
      </c>
      <c r="AU52" s="2">
        <v>1.177</v>
      </c>
      <c r="AV52" s="2">
        <v>0.3</v>
      </c>
      <c r="AW52" s="2">
        <v>6.9000000000000006E-2</v>
      </c>
      <c r="AX52" s="2">
        <v>0.125</v>
      </c>
      <c r="AY52" s="2">
        <v>0.80600000000000005</v>
      </c>
      <c r="AZ52" s="2">
        <v>0.66</v>
      </c>
      <c r="BA52" s="2">
        <v>1.21</v>
      </c>
      <c r="BB52" s="2">
        <v>4.7</v>
      </c>
      <c r="BC52" s="2">
        <v>51</v>
      </c>
      <c r="BD52" s="2">
        <v>2.2999999999999998</v>
      </c>
      <c r="BE52" s="2">
        <v>4.8</v>
      </c>
      <c r="BF52" s="2">
        <v>82</v>
      </c>
      <c r="BG52" s="2">
        <v>33</v>
      </c>
      <c r="BH52" s="2">
        <v>349</v>
      </c>
      <c r="BI52" s="2">
        <v>69</v>
      </c>
      <c r="BJ52" s="2">
        <v>15</v>
      </c>
      <c r="BK52" s="2">
        <v>12</v>
      </c>
      <c r="BL52" s="2">
        <v>2.2000000000000002</v>
      </c>
      <c r="BM52" s="2">
        <v>0.8</v>
      </c>
      <c r="BN52" s="2">
        <v>0</v>
      </c>
      <c r="BO52" s="2">
        <v>0.08</v>
      </c>
      <c r="BP52" s="2">
        <v>1.75</v>
      </c>
      <c r="BQ52" s="2">
        <v>0.56999999999999995</v>
      </c>
    </row>
    <row r="53" spans="1:69" x14ac:dyDescent="0.2">
      <c r="A53">
        <v>20</v>
      </c>
      <c r="B53">
        <v>280</v>
      </c>
      <c r="C53" t="s">
        <v>18</v>
      </c>
      <c r="D53" t="s">
        <v>0</v>
      </c>
      <c r="E53">
        <v>2</v>
      </c>
      <c r="F53" s="2">
        <v>411.97946731234879</v>
      </c>
      <c r="G53" s="2">
        <v>598.72894736842113</v>
      </c>
      <c r="H53" s="2">
        <v>784.07581598062973</v>
      </c>
      <c r="I53" s="2">
        <v>978.64065789473705</v>
      </c>
      <c r="J53" s="2">
        <v>1196.0552832929784</v>
      </c>
      <c r="K53" s="2">
        <v>1577.3696052631581</v>
      </c>
      <c r="L53" s="2">
        <v>186.74948005607234</v>
      </c>
      <c r="M53" s="2">
        <v>381.31432197017966</v>
      </c>
      <c r="N53" s="2">
        <v>2.8615000000000004</v>
      </c>
      <c r="O53" s="2">
        <v>30.459</v>
      </c>
      <c r="P53" s="2">
        <v>0.156</v>
      </c>
      <c r="Q53" s="2">
        <v>5.1210000000000004</v>
      </c>
      <c r="R53" s="2">
        <v>42.165799999999997</v>
      </c>
      <c r="S53" s="2">
        <v>51.199399999999997</v>
      </c>
      <c r="T53" s="2">
        <v>161.542</v>
      </c>
      <c r="U53" s="2">
        <v>188.47319999999999</v>
      </c>
      <c r="V53" s="2">
        <v>179.28359999999998</v>
      </c>
      <c r="W53" s="2">
        <v>115.30760000000001</v>
      </c>
      <c r="X53" s="2">
        <v>51.355399999999996</v>
      </c>
      <c r="Y53" s="2">
        <v>87.82</v>
      </c>
      <c r="Z53" s="2">
        <v>42.34</v>
      </c>
      <c r="AA53" s="2">
        <v>22.01</v>
      </c>
      <c r="AB53" s="2">
        <v>18.39</v>
      </c>
      <c r="AC53" s="2">
        <v>4.45</v>
      </c>
      <c r="AD53" s="2">
        <v>36.130000000000003</v>
      </c>
      <c r="AE53" s="2">
        <v>24.31</v>
      </c>
      <c r="AF53" s="2">
        <v>60.4</v>
      </c>
      <c r="AG53" s="2">
        <v>44.5</v>
      </c>
      <c r="AH53" s="2">
        <v>16</v>
      </c>
      <c r="AI53" s="2">
        <v>21</v>
      </c>
      <c r="AJ53" s="2">
        <v>6.38</v>
      </c>
      <c r="AK53" s="2">
        <v>1.5760000000000001</v>
      </c>
      <c r="AL53" s="2">
        <v>1.3939999999999999</v>
      </c>
      <c r="AM53" s="2">
        <v>0.93899999999999995</v>
      </c>
      <c r="AN53" s="2">
        <v>0.88500000000000001</v>
      </c>
      <c r="AO53" s="2">
        <v>2.1970000000000001</v>
      </c>
      <c r="AP53" s="2">
        <v>0.85299999999999998</v>
      </c>
      <c r="AQ53" s="2">
        <v>1.1120000000000001</v>
      </c>
      <c r="AR53" s="2">
        <v>2.1680000000000001</v>
      </c>
      <c r="AS53" s="2">
        <v>25.73</v>
      </c>
      <c r="AT53" s="2">
        <v>452.5</v>
      </c>
      <c r="AU53" s="2">
        <v>1.254</v>
      </c>
      <c r="AV53" s="2">
        <v>0.23</v>
      </c>
      <c r="AW53" s="2">
        <v>0.184</v>
      </c>
      <c r="AX53" s="2">
        <v>0.309</v>
      </c>
      <c r="AY53" s="2">
        <v>0.50700000000000001</v>
      </c>
      <c r="AZ53" s="2">
        <v>0.81</v>
      </c>
      <c r="BA53" s="2">
        <v>0.99</v>
      </c>
      <c r="BB53" s="2">
        <v>5.8</v>
      </c>
      <c r="BC53" s="2">
        <v>66</v>
      </c>
      <c r="BD53" s="2">
        <v>2</v>
      </c>
      <c r="BE53" s="2">
        <v>5.2</v>
      </c>
      <c r="BF53" s="2">
        <v>169</v>
      </c>
      <c r="BG53" s="2">
        <v>123</v>
      </c>
      <c r="BH53" s="2">
        <v>508</v>
      </c>
      <c r="BI53" s="2">
        <v>117</v>
      </c>
      <c r="BJ53" s="2">
        <v>23</v>
      </c>
      <c r="BK53" s="2">
        <v>18.399999999999999</v>
      </c>
      <c r="BL53" s="2">
        <v>5.6</v>
      </c>
      <c r="BM53" s="2">
        <v>2.5</v>
      </c>
      <c r="BN53" s="2">
        <v>0</v>
      </c>
      <c r="BO53" s="2">
        <v>0.31</v>
      </c>
      <c r="BP53" s="2">
        <v>2.54</v>
      </c>
      <c r="BQ53" s="2">
        <v>0.96</v>
      </c>
    </row>
    <row r="54" spans="1:69" x14ac:dyDescent="0.2">
      <c r="A54">
        <v>20</v>
      </c>
      <c r="B54">
        <v>51</v>
      </c>
      <c r="C54" t="s">
        <v>24</v>
      </c>
      <c r="D54" t="s">
        <v>0</v>
      </c>
      <c r="E54">
        <v>3</v>
      </c>
      <c r="F54" s="2">
        <v>347.71481481481482</v>
      </c>
      <c r="G54" s="2">
        <v>417.4161241862796</v>
      </c>
      <c r="H54" s="2">
        <v>637.737037037037</v>
      </c>
      <c r="I54" s="2">
        <v>725.54511767651479</v>
      </c>
      <c r="J54" s="2">
        <v>985.45185185185187</v>
      </c>
      <c r="K54" s="2">
        <v>1142.9612418627944</v>
      </c>
      <c r="L54" s="2">
        <v>69.701309371464788</v>
      </c>
      <c r="M54" s="2">
        <v>157.50939001094252</v>
      </c>
      <c r="N54" s="2">
        <v>1.6944000000000001</v>
      </c>
      <c r="O54" s="2">
        <v>21.744</v>
      </c>
      <c r="P54" s="2">
        <v>0.61260000000000003</v>
      </c>
      <c r="Q54" s="2">
        <v>1.3553999999999999</v>
      </c>
      <c r="R54" s="2">
        <v>6.1286000000000005</v>
      </c>
      <c r="S54" s="2">
        <v>15.839399999999999</v>
      </c>
      <c r="T54" s="2">
        <v>87.519199999999998</v>
      </c>
      <c r="U54" s="2">
        <v>89.117800000000003</v>
      </c>
      <c r="V54" s="2">
        <v>78.79440000000001</v>
      </c>
      <c r="W54" s="2">
        <v>72.422600000000003</v>
      </c>
      <c r="X54" s="2">
        <v>16.451999999999998</v>
      </c>
      <c r="Y54" s="2">
        <v>89.66</v>
      </c>
      <c r="Z54" s="2">
        <v>44.53</v>
      </c>
      <c r="AA54" s="2">
        <v>23.76</v>
      </c>
      <c r="AB54" s="2">
        <v>16.16</v>
      </c>
      <c r="AC54" s="2">
        <v>4.79</v>
      </c>
      <c r="AD54" s="2">
        <v>32.049999999999997</v>
      </c>
      <c r="AE54" s="2">
        <v>27.37</v>
      </c>
      <c r="AF54" s="2">
        <v>59.4</v>
      </c>
      <c r="AG54" s="2">
        <v>45.4</v>
      </c>
      <c r="AH54" s="2">
        <v>14</v>
      </c>
      <c r="AI54" s="2">
        <v>23.61</v>
      </c>
      <c r="AJ54" s="2">
        <v>6.63</v>
      </c>
      <c r="AK54" s="2">
        <v>1.6220000000000001</v>
      </c>
      <c r="AL54" s="2">
        <v>1.2609999999999999</v>
      </c>
      <c r="AM54" s="2">
        <v>0.87</v>
      </c>
      <c r="AN54" s="2">
        <v>0.77700000000000002</v>
      </c>
      <c r="AO54" s="2">
        <v>2.0449999999999999</v>
      </c>
      <c r="AP54" s="2">
        <v>0.72</v>
      </c>
      <c r="AQ54" s="2">
        <v>1.135</v>
      </c>
      <c r="AR54" s="2">
        <v>1.3120000000000001</v>
      </c>
      <c r="AS54" s="2">
        <v>16.649999999999999</v>
      </c>
      <c r="AT54" s="2">
        <v>336</v>
      </c>
      <c r="AU54" s="2">
        <v>1.337</v>
      </c>
      <c r="AV54" s="2">
        <v>2.63</v>
      </c>
      <c r="AW54" s="2">
        <v>0.15</v>
      </c>
      <c r="AX54" s="2">
        <v>0.26300000000000001</v>
      </c>
      <c r="AY54" s="2">
        <v>0.58599999999999997</v>
      </c>
      <c r="AZ54" s="2">
        <v>0.27</v>
      </c>
      <c r="BA54" s="2">
        <v>0.98</v>
      </c>
      <c r="BB54" s="2">
        <v>5.3</v>
      </c>
      <c r="BC54" s="2">
        <v>76</v>
      </c>
      <c r="BD54" s="2">
        <v>1.3</v>
      </c>
      <c r="BE54" s="2">
        <v>5.4</v>
      </c>
      <c r="BF54" s="2">
        <v>80</v>
      </c>
      <c r="BG54" s="2">
        <v>105</v>
      </c>
      <c r="BH54" s="2">
        <v>473</v>
      </c>
      <c r="BI54" s="2">
        <v>173</v>
      </c>
      <c r="BJ54" s="2">
        <v>13</v>
      </c>
      <c r="BK54" s="2">
        <v>23.6</v>
      </c>
      <c r="BL54" s="2">
        <v>2</v>
      </c>
      <c r="BM54" s="2">
        <v>0.9</v>
      </c>
      <c r="BN54" s="2">
        <v>0</v>
      </c>
      <c r="BO54" s="2">
        <v>0.27</v>
      </c>
      <c r="BP54" s="2">
        <v>2.37</v>
      </c>
      <c r="BQ54" s="2">
        <v>1.42</v>
      </c>
    </row>
    <row r="55" spans="1:69" x14ac:dyDescent="0.2">
      <c r="A55">
        <v>10</v>
      </c>
      <c r="B55">
        <v>93</v>
      </c>
      <c r="C55" t="s">
        <v>24</v>
      </c>
      <c r="D55" t="s">
        <v>7</v>
      </c>
      <c r="E55">
        <v>4</v>
      </c>
      <c r="F55" s="2">
        <v>85.89530201342258</v>
      </c>
      <c r="G55" s="2">
        <v>136.84293015332133</v>
      </c>
      <c r="H55" s="2">
        <v>236.21208053691271</v>
      </c>
      <c r="I55" s="2">
        <v>277.55877342419058</v>
      </c>
      <c r="J55" s="2">
        <v>322.10738255033527</v>
      </c>
      <c r="K55" s="2">
        <v>414.40170357751191</v>
      </c>
      <c r="L55" s="2">
        <v>50.947628139898754</v>
      </c>
      <c r="M55" s="2">
        <v>92.294321027176636</v>
      </c>
      <c r="N55" s="2">
        <v>0.57689999999999997</v>
      </c>
      <c r="O55" s="2">
        <v>7.9957000000000003</v>
      </c>
      <c r="P55" s="2">
        <v>0.52033898305084747</v>
      </c>
      <c r="Q55" s="2">
        <v>1.2330000000000001</v>
      </c>
      <c r="R55" s="2">
        <v>0.46620000000000006</v>
      </c>
      <c r="S55" s="2">
        <v>22.307062146892655</v>
      </c>
      <c r="T55" s="2">
        <v>21.329599999999999</v>
      </c>
      <c r="U55" s="2">
        <v>20.634799999999998</v>
      </c>
      <c r="V55" s="2">
        <v>-1.726401129943504</v>
      </c>
      <c r="W55" s="2">
        <v>-0.26480112994350335</v>
      </c>
      <c r="X55" s="2">
        <v>22.827401129943503</v>
      </c>
      <c r="Y55" s="2">
        <v>105.11</v>
      </c>
      <c r="Z55" s="2">
        <v>47.12</v>
      </c>
      <c r="AA55" s="2">
        <v>29.22</v>
      </c>
      <c r="AB55" s="2">
        <v>23.94</v>
      </c>
      <c r="AC55" s="2">
        <v>4.37</v>
      </c>
      <c r="AD55" s="2">
        <v>7.32</v>
      </c>
      <c r="AE55" s="2">
        <v>26.25</v>
      </c>
      <c r="AF55" s="2">
        <v>33.6</v>
      </c>
      <c r="AG55" s="2">
        <v>53.2</v>
      </c>
      <c r="AH55" s="2">
        <v>-19.7</v>
      </c>
      <c r="AI55" s="2">
        <v>58.37</v>
      </c>
      <c r="AJ55" s="2">
        <v>13.17</v>
      </c>
      <c r="AK55" s="2">
        <v>1.498</v>
      </c>
      <c r="AL55" s="2">
        <v>0.44400000000000001</v>
      </c>
      <c r="AM55" s="2">
        <v>0.44</v>
      </c>
      <c r="AN55" s="2">
        <v>0.29599999999999999</v>
      </c>
      <c r="AO55" s="2">
        <v>0.66600000000000004</v>
      </c>
      <c r="AP55" s="2">
        <v>0.155</v>
      </c>
      <c r="AQ55" s="2">
        <v>1.331</v>
      </c>
      <c r="AR55" s="2">
        <v>0.53200000000000003</v>
      </c>
      <c r="AS55" s="2">
        <v>6.98</v>
      </c>
      <c r="AT55" s="2">
        <v>63.9</v>
      </c>
      <c r="AU55" s="2">
        <v>1.2669999999999999</v>
      </c>
      <c r="AV55" s="2">
        <v>1.85</v>
      </c>
      <c r="AW55" s="2">
        <v>0.20799999999999999</v>
      </c>
      <c r="AX55" s="2">
        <v>0.222</v>
      </c>
      <c r="AY55" s="2">
        <v>0.56999999999999995</v>
      </c>
      <c r="AZ55" s="2">
        <v>0.09</v>
      </c>
      <c r="BA55" s="2">
        <v>1.1200000000000001</v>
      </c>
      <c r="BB55" s="2">
        <v>4.5</v>
      </c>
      <c r="BC55" s="2">
        <v>67</v>
      </c>
      <c r="BD55" s="2">
        <v>1.5</v>
      </c>
      <c r="BE55" s="2">
        <v>5.2</v>
      </c>
      <c r="BF55" s="2">
        <v>36</v>
      </c>
      <c r="BG55" s="2">
        <v>86</v>
      </c>
      <c r="BH55" s="2">
        <v>379</v>
      </c>
      <c r="BI55" s="2">
        <v>112</v>
      </c>
      <c r="BJ55" s="2">
        <v>29</v>
      </c>
      <c r="BK55" s="2">
        <v>8.3000000000000007</v>
      </c>
      <c r="BL55" s="2">
        <v>0.8</v>
      </c>
      <c r="BM55" s="2">
        <v>0.6</v>
      </c>
      <c r="BN55" s="2">
        <v>0</v>
      </c>
      <c r="BO55" s="2">
        <v>0.22</v>
      </c>
      <c r="BP55" s="2">
        <v>1.9</v>
      </c>
      <c r="BQ55" s="2">
        <v>0.92</v>
      </c>
    </row>
    <row r="56" spans="1:69" x14ac:dyDescent="0.2">
      <c r="A56">
        <v>20</v>
      </c>
      <c r="B56">
        <v>115</v>
      </c>
      <c r="C56" t="s">
        <v>24</v>
      </c>
      <c r="D56" t="s">
        <v>0</v>
      </c>
      <c r="E56">
        <v>2</v>
      </c>
      <c r="F56" s="2">
        <v>402.1136202531647</v>
      </c>
      <c r="G56" s="2">
        <v>445.63275777010364</v>
      </c>
      <c r="H56" s="2">
        <v>778.13589873417732</v>
      </c>
      <c r="I56" s="2">
        <v>725.27479033053771</v>
      </c>
      <c r="J56" s="2">
        <v>1180.2495189873421</v>
      </c>
      <c r="K56" s="2">
        <v>1170.9075481006414</v>
      </c>
      <c r="L56" s="2">
        <v>43.51913751693894</v>
      </c>
      <c r="M56" s="2">
        <v>-9.3419708867006648</v>
      </c>
      <c r="N56" s="2">
        <v>1.7743</v>
      </c>
      <c r="O56" s="2">
        <v>21.259999999999998</v>
      </c>
      <c r="P56" s="2">
        <v>0.63019999999999998</v>
      </c>
      <c r="Q56" s="2">
        <v>1.7826</v>
      </c>
      <c r="R56" s="2">
        <v>6.8174000000000001</v>
      </c>
      <c r="S56" s="2">
        <v>21.8996</v>
      </c>
      <c r="T56" s="2">
        <v>108.04280000000001</v>
      </c>
      <c r="U56" s="2">
        <v>114.00219999999999</v>
      </c>
      <c r="V56" s="2">
        <v>98.2898</v>
      </c>
      <c r="W56" s="2">
        <v>87.295600000000022</v>
      </c>
      <c r="X56" s="2">
        <v>22.529799999999998</v>
      </c>
      <c r="Y56" s="2">
        <v>88.17</v>
      </c>
      <c r="Z56" s="2">
        <v>43.39</v>
      </c>
      <c r="AA56" s="2">
        <v>27.7</v>
      </c>
      <c r="AB56" s="2">
        <v>14.2</v>
      </c>
      <c r="AC56" s="2">
        <v>2.54</v>
      </c>
      <c r="AD56" s="2">
        <v>33.32</v>
      </c>
      <c r="AE56" s="2">
        <v>29.87</v>
      </c>
      <c r="AF56" s="2">
        <v>63.2</v>
      </c>
      <c r="AG56" s="2">
        <v>44.6</v>
      </c>
      <c r="AH56" s="2">
        <v>18.5</v>
      </c>
      <c r="AI56" s="2">
        <v>20.09</v>
      </c>
      <c r="AJ56" s="2">
        <v>4.8899999999999997</v>
      </c>
      <c r="AK56" s="2">
        <v>1.637</v>
      </c>
      <c r="AL56" s="2">
        <v>1.3340000000000001</v>
      </c>
      <c r="AM56" s="2">
        <v>0.88900000000000001</v>
      </c>
      <c r="AN56" s="2">
        <v>0.81499999999999995</v>
      </c>
      <c r="AO56" s="2">
        <v>2.1840000000000002</v>
      </c>
      <c r="AP56" s="2">
        <v>0.76800000000000002</v>
      </c>
      <c r="AQ56" s="2">
        <v>1.1160000000000001</v>
      </c>
      <c r="AR56" s="2">
        <v>1.4359999999999999</v>
      </c>
      <c r="AS56" s="2">
        <v>19.309999999999999</v>
      </c>
      <c r="AT56" s="2">
        <v>319.39999999999998</v>
      </c>
      <c r="AU56" s="2">
        <v>1.2709999999999999</v>
      </c>
      <c r="AV56" s="2">
        <v>4.13</v>
      </c>
      <c r="AW56" s="2">
        <v>0.17299999999999999</v>
      </c>
      <c r="AX56" s="2">
        <v>0.20499999999999999</v>
      </c>
      <c r="AY56" s="2">
        <v>0.622</v>
      </c>
      <c r="AZ56" s="2">
        <v>0.27</v>
      </c>
      <c r="BA56" s="2">
        <v>0.86</v>
      </c>
      <c r="BB56" s="2">
        <v>5.3</v>
      </c>
      <c r="BC56" s="2">
        <v>77</v>
      </c>
      <c r="BD56" s="2">
        <v>1.2</v>
      </c>
      <c r="BE56" s="2">
        <v>5.4</v>
      </c>
      <c r="BF56" s="2">
        <v>58</v>
      </c>
      <c r="BG56" s="2">
        <v>167</v>
      </c>
      <c r="BH56" s="2">
        <v>464</v>
      </c>
      <c r="BI56" s="2">
        <v>160</v>
      </c>
      <c r="BJ56" s="2">
        <v>13</v>
      </c>
      <c r="BK56" s="2">
        <v>17.7</v>
      </c>
      <c r="BL56" s="2">
        <v>1.7</v>
      </c>
      <c r="BM56" s="2">
        <v>0.9</v>
      </c>
      <c r="BN56" s="2">
        <v>0</v>
      </c>
      <c r="BO56" s="2">
        <v>0.43</v>
      </c>
      <c r="BP56" s="2">
        <v>2.3199999999999998</v>
      </c>
      <c r="BQ56" s="2">
        <v>1.32</v>
      </c>
    </row>
    <row r="57" spans="1:69" x14ac:dyDescent="0.2">
      <c r="A57">
        <v>20</v>
      </c>
      <c r="B57">
        <v>150</v>
      </c>
      <c r="C57" t="s">
        <v>24</v>
      </c>
      <c r="D57" t="s">
        <v>0</v>
      </c>
      <c r="E57">
        <v>1</v>
      </c>
      <c r="F57" s="2">
        <v>429.87391937833905</v>
      </c>
      <c r="G57" s="2">
        <v>418.64985563041398</v>
      </c>
      <c r="H57" s="2">
        <v>711.05857212238948</v>
      </c>
      <c r="I57" s="2">
        <v>681.21770933589971</v>
      </c>
      <c r="J57" s="2">
        <v>1140.9324915007285</v>
      </c>
      <c r="K57" s="2">
        <v>1099.8675649663137</v>
      </c>
      <c r="L57" s="2">
        <v>-11.224063747925072</v>
      </c>
      <c r="M57" s="2">
        <v>-41.064926534414781</v>
      </c>
      <c r="N57" s="2">
        <v>2.0527000000000002</v>
      </c>
      <c r="O57" s="2">
        <v>23.177</v>
      </c>
      <c r="P57" s="2">
        <v>0.61580000000000001</v>
      </c>
      <c r="Q57" s="2">
        <v>2.1185999999999998</v>
      </c>
      <c r="R57" s="2">
        <v>5.1434000000000006</v>
      </c>
      <c r="S57" s="2">
        <v>21.1998</v>
      </c>
      <c r="T57" s="2">
        <v>127.62560000000001</v>
      </c>
      <c r="U57" s="2">
        <v>117.7474</v>
      </c>
      <c r="V57" s="2">
        <v>101.0752</v>
      </c>
      <c r="W57" s="2">
        <v>107.9286</v>
      </c>
      <c r="X57" s="2">
        <v>21.8156</v>
      </c>
      <c r="Y57" s="2">
        <v>91.25</v>
      </c>
      <c r="Z57" s="2">
        <v>40.32</v>
      </c>
      <c r="AA57" s="2">
        <v>30.33</v>
      </c>
      <c r="AB57" s="2">
        <v>16.43</v>
      </c>
      <c r="AC57" s="2">
        <v>3.74</v>
      </c>
      <c r="AD57" s="2">
        <v>30.33</v>
      </c>
      <c r="AE57" s="2">
        <v>32.89</v>
      </c>
      <c r="AF57" s="2">
        <v>63.2</v>
      </c>
      <c r="AG57" s="2">
        <v>46.2</v>
      </c>
      <c r="AH57" s="2">
        <v>17</v>
      </c>
      <c r="AI57" s="2">
        <v>21.79</v>
      </c>
      <c r="AJ57" s="2">
        <v>6.24</v>
      </c>
      <c r="AK57" s="2">
        <v>1.5069999999999999</v>
      </c>
      <c r="AL57" s="2">
        <v>1.2190000000000001</v>
      </c>
      <c r="AM57" s="2">
        <v>0.89500000000000002</v>
      </c>
      <c r="AN57" s="2">
        <v>0.80900000000000005</v>
      </c>
      <c r="AO57" s="2">
        <v>1.837</v>
      </c>
      <c r="AP57" s="2">
        <v>0.752</v>
      </c>
      <c r="AQ57" s="2">
        <v>1.155</v>
      </c>
      <c r="AR57" s="2">
        <v>1.7310000000000001</v>
      </c>
      <c r="AS57" s="2">
        <v>20.260000000000002</v>
      </c>
      <c r="AT57" s="2">
        <v>410.7</v>
      </c>
      <c r="AU57" s="2">
        <v>1.254</v>
      </c>
      <c r="AV57" s="2">
        <v>5.18</v>
      </c>
      <c r="AW57" s="2">
        <v>0.17699999999999999</v>
      </c>
      <c r="AX57" s="2">
        <v>0.19900000000000001</v>
      </c>
      <c r="AY57" s="2">
        <v>0.624</v>
      </c>
      <c r="AZ57" s="2">
        <v>0.27</v>
      </c>
      <c r="BA57" s="2">
        <v>0.91</v>
      </c>
      <c r="BB57" s="2">
        <v>7.1</v>
      </c>
      <c r="BC57" s="2">
        <v>82</v>
      </c>
      <c r="BD57" s="2">
        <v>1.2</v>
      </c>
      <c r="BE57" s="2">
        <v>5.6</v>
      </c>
      <c r="BF57" s="2">
        <v>43</v>
      </c>
      <c r="BG57" s="2">
        <v>148</v>
      </c>
      <c r="BH57" s="2">
        <v>724</v>
      </c>
      <c r="BI57" s="2">
        <v>224</v>
      </c>
      <c r="BJ57" s="2">
        <v>14</v>
      </c>
      <c r="BK57" s="2">
        <v>13</v>
      </c>
      <c r="BL57" s="2">
        <v>2.5</v>
      </c>
      <c r="BM57" s="2">
        <v>0.9</v>
      </c>
      <c r="BN57" s="2">
        <v>0</v>
      </c>
      <c r="BO57" s="2">
        <v>0.38</v>
      </c>
      <c r="BP57" s="2">
        <v>3.62</v>
      </c>
      <c r="BQ57" s="2">
        <v>1.84</v>
      </c>
    </row>
    <row r="58" spans="1:69" x14ac:dyDescent="0.2">
      <c r="A58">
        <v>10</v>
      </c>
      <c r="B58">
        <v>157</v>
      </c>
      <c r="C58" t="s">
        <v>24</v>
      </c>
      <c r="D58" t="s">
        <v>7</v>
      </c>
      <c r="E58">
        <v>3</v>
      </c>
      <c r="F58" s="2">
        <v>88.317048089524945</v>
      </c>
      <c r="G58" s="2">
        <v>106.44277733439722</v>
      </c>
      <c r="H58" s="2">
        <v>404.30261115031732</v>
      </c>
      <c r="I58" s="2">
        <v>218.0262569832401</v>
      </c>
      <c r="J58" s="2">
        <v>492.61965923984224</v>
      </c>
      <c r="K58" s="2">
        <v>324.46903431763735</v>
      </c>
      <c r="L58" s="2">
        <v>18.125729244872275</v>
      </c>
      <c r="M58" s="2">
        <v>-168.15062492220488</v>
      </c>
      <c r="N58" s="2">
        <v>0.57750000000000001</v>
      </c>
      <c r="O58" s="2">
        <v>7.0945</v>
      </c>
      <c r="P58" s="2">
        <v>0.53039999999999998</v>
      </c>
      <c r="Q58" s="2">
        <v>1.3864135864135865</v>
      </c>
      <c r="R58" s="2">
        <v>2.0429999999999997</v>
      </c>
      <c r="S58" s="2">
        <v>14.69</v>
      </c>
      <c r="T58" s="2">
        <v>26.725674325674326</v>
      </c>
      <c r="U58" s="2">
        <v>27.989599999999999</v>
      </c>
      <c r="V58" s="2">
        <v>14.812199999999999</v>
      </c>
      <c r="W58" s="2">
        <v>12.891687912087912</v>
      </c>
      <c r="X58" s="2">
        <v>15.2204</v>
      </c>
      <c r="Y58" s="2">
        <v>108.28</v>
      </c>
      <c r="Z58" s="2">
        <v>43.38</v>
      </c>
      <c r="AA58" s="2">
        <v>28.95</v>
      </c>
      <c r="AB58" s="2">
        <v>31.35</v>
      </c>
      <c r="AC58" s="2">
        <v>4.1500000000000004</v>
      </c>
      <c r="AD58" s="2">
        <v>12.15</v>
      </c>
      <c r="AE58" s="2">
        <v>32.119999999999997</v>
      </c>
      <c r="AF58" s="2">
        <v>44.3</v>
      </c>
      <c r="AG58" s="2">
        <v>54.8</v>
      </c>
      <c r="AH58" s="2">
        <v>-10.6</v>
      </c>
      <c r="AI58" s="2">
        <v>53.09</v>
      </c>
      <c r="AJ58" s="2">
        <v>10.92</v>
      </c>
      <c r="AK58" s="2">
        <v>1.3640000000000001</v>
      </c>
      <c r="AL58" s="2">
        <v>0.58499999999999996</v>
      </c>
      <c r="AM58" s="2">
        <v>0.61199999999999999</v>
      </c>
      <c r="AN58" s="2">
        <v>0.42899999999999999</v>
      </c>
      <c r="AO58" s="2">
        <v>0.79800000000000004</v>
      </c>
      <c r="AP58" s="2">
        <v>0.28000000000000003</v>
      </c>
      <c r="AQ58" s="2">
        <v>1.371</v>
      </c>
      <c r="AR58" s="2">
        <v>0.65500000000000003</v>
      </c>
      <c r="AS58" s="2">
        <v>7.98</v>
      </c>
      <c r="AT58" s="2">
        <v>88.1</v>
      </c>
      <c r="AU58" s="2">
        <v>1.49</v>
      </c>
      <c r="AV58" s="2">
        <v>4.47</v>
      </c>
      <c r="AW58" s="2">
        <v>0.126</v>
      </c>
      <c r="AX58" s="2">
        <v>0.17</v>
      </c>
      <c r="AY58" s="2">
        <v>0.70399999999999996</v>
      </c>
      <c r="AZ58" s="2">
        <v>0.22</v>
      </c>
      <c r="BA58" s="2">
        <v>1.1399999999999999</v>
      </c>
      <c r="BB58" s="2">
        <v>4</v>
      </c>
      <c r="BC58" s="2">
        <v>66</v>
      </c>
      <c r="BD58" s="2">
        <v>1.4</v>
      </c>
      <c r="BE58" s="2">
        <v>5.2</v>
      </c>
      <c r="BF58" s="2">
        <v>99</v>
      </c>
      <c r="BG58" s="2">
        <v>116</v>
      </c>
      <c r="BH58" s="2">
        <v>338</v>
      </c>
      <c r="BI58" s="2">
        <v>81</v>
      </c>
      <c r="BJ58" s="2">
        <v>15</v>
      </c>
      <c r="BK58" s="2">
        <v>16.8</v>
      </c>
      <c r="BL58" s="2">
        <v>1.5</v>
      </c>
      <c r="BM58" s="2">
        <v>0.8</v>
      </c>
      <c r="BN58" s="2">
        <v>0</v>
      </c>
      <c r="BO58" s="2">
        <v>0.3</v>
      </c>
      <c r="BP58" s="2">
        <v>1.69</v>
      </c>
      <c r="BQ58" s="2">
        <v>0.67</v>
      </c>
    </row>
    <row r="59" spans="1:69" x14ac:dyDescent="0.2">
      <c r="A59">
        <v>10</v>
      </c>
      <c r="B59">
        <v>175</v>
      </c>
      <c r="C59" t="s">
        <v>24</v>
      </c>
      <c r="D59" t="s">
        <v>7</v>
      </c>
      <c r="E59">
        <v>2</v>
      </c>
      <c r="F59" s="2">
        <v>259.26900542495417</v>
      </c>
      <c r="G59" s="2">
        <v>272.91985239852323</v>
      </c>
      <c r="H59" s="2">
        <v>641.32079566003608</v>
      </c>
      <c r="I59" s="2">
        <v>777.37416974169753</v>
      </c>
      <c r="J59" s="2">
        <v>900.58980108499031</v>
      </c>
      <c r="K59" s="2">
        <v>1050.2940221402207</v>
      </c>
      <c r="L59" s="2">
        <v>13.65084697356906</v>
      </c>
      <c r="M59" s="2">
        <v>149.70422105523039</v>
      </c>
      <c r="N59" s="2">
        <v>1.2383999999999999</v>
      </c>
      <c r="O59" s="2">
        <v>14.633000000000001</v>
      </c>
      <c r="P59" s="2">
        <v>0.93719999999999992</v>
      </c>
      <c r="Q59" s="2">
        <v>20.549175824175826</v>
      </c>
      <c r="R59" s="2">
        <v>11.166282722513088</v>
      </c>
      <c r="S59" s="2">
        <v>17.367000000000001</v>
      </c>
      <c r="T59" s="2">
        <v>49.629670329670333</v>
      </c>
      <c r="U59" s="2">
        <v>49.393089005235595</v>
      </c>
      <c r="V59" s="2">
        <v>42.255171727748682</v>
      </c>
      <c r="W59" s="2">
        <v>51.874646153846165</v>
      </c>
      <c r="X59" s="2">
        <v>18.304200000000002</v>
      </c>
      <c r="Y59" s="2">
        <v>95.88</v>
      </c>
      <c r="Z59" s="2">
        <v>48.17</v>
      </c>
      <c r="AA59" s="2">
        <v>25.54</v>
      </c>
      <c r="AB59" s="2">
        <v>18.36</v>
      </c>
      <c r="AC59" s="2">
        <v>3.21</v>
      </c>
      <c r="AD59" s="2">
        <v>20.96</v>
      </c>
      <c r="AE59" s="2">
        <v>25.71</v>
      </c>
      <c r="AF59" s="2">
        <v>46.7</v>
      </c>
      <c r="AG59" s="2">
        <v>48.5</v>
      </c>
      <c r="AH59" s="2">
        <v>-1.9</v>
      </c>
      <c r="AI59" s="2">
        <v>38.82</v>
      </c>
      <c r="AJ59" s="2">
        <v>10.39</v>
      </c>
      <c r="AK59" s="2">
        <v>1.641</v>
      </c>
      <c r="AL59" s="2">
        <v>0.86099999999999999</v>
      </c>
      <c r="AM59" s="2">
        <v>0.63300000000000001</v>
      </c>
      <c r="AN59" s="2">
        <v>0.52400000000000002</v>
      </c>
      <c r="AO59" s="2">
        <v>1.4119999999999999</v>
      </c>
      <c r="AP59" s="2">
        <v>0.435</v>
      </c>
      <c r="AQ59" s="2">
        <v>1.214</v>
      </c>
      <c r="AR59" s="2">
        <v>1.0569999999999999</v>
      </c>
      <c r="AS59" s="2">
        <v>12.79</v>
      </c>
      <c r="AT59" s="2">
        <v>218.9</v>
      </c>
      <c r="AU59" s="2">
        <v>1.3049999999999999</v>
      </c>
      <c r="AV59" s="2">
        <v>2.0099999999999998</v>
      </c>
      <c r="AW59" s="2">
        <v>0.26200000000000001</v>
      </c>
      <c r="AX59" s="2">
        <v>0.22700000000000001</v>
      </c>
      <c r="AY59" s="2">
        <v>0.51100000000000001</v>
      </c>
      <c r="AZ59" s="2">
        <v>0.22</v>
      </c>
      <c r="BA59" s="2">
        <v>0.99</v>
      </c>
      <c r="BB59" s="2">
        <v>6.3</v>
      </c>
      <c r="BC59" s="2">
        <v>82</v>
      </c>
      <c r="BD59" s="2">
        <v>1.1000000000000001</v>
      </c>
      <c r="BE59" s="2">
        <v>5.8</v>
      </c>
      <c r="BF59" s="2">
        <v>41</v>
      </c>
      <c r="BG59" s="2">
        <v>163</v>
      </c>
      <c r="BH59" s="2">
        <v>659</v>
      </c>
      <c r="BI59" s="2">
        <v>175</v>
      </c>
      <c r="BJ59" s="2">
        <v>13</v>
      </c>
      <c r="BK59" s="2">
        <v>15.7</v>
      </c>
      <c r="BL59" s="2">
        <v>1.2</v>
      </c>
      <c r="BM59" s="2">
        <v>1.1000000000000001</v>
      </c>
      <c r="BN59" s="2">
        <v>0</v>
      </c>
      <c r="BO59" s="2">
        <v>0.42</v>
      </c>
      <c r="BP59" s="2">
        <v>3.3</v>
      </c>
      <c r="BQ59" s="2">
        <v>1.44</v>
      </c>
    </row>
    <row r="60" spans="1:69" x14ac:dyDescent="0.2">
      <c r="A60">
        <v>20</v>
      </c>
      <c r="B60">
        <v>212</v>
      </c>
      <c r="C60" t="s">
        <v>24</v>
      </c>
      <c r="D60" t="s">
        <v>0</v>
      </c>
      <c r="E60">
        <v>4</v>
      </c>
      <c r="F60" s="2">
        <v>283.3479198767335</v>
      </c>
      <c r="G60" s="2">
        <v>247.87274206672097</v>
      </c>
      <c r="H60" s="2">
        <v>571.36640986132511</v>
      </c>
      <c r="I60" s="2">
        <v>419.28722538649305</v>
      </c>
      <c r="J60" s="2">
        <v>854.71432973805861</v>
      </c>
      <c r="K60" s="2">
        <v>667.15996745321399</v>
      </c>
      <c r="L60" s="2">
        <v>-35.475177810012525</v>
      </c>
      <c r="M60" s="2">
        <v>-187.55436228484461</v>
      </c>
      <c r="N60" s="2">
        <v>1.1336999999999999</v>
      </c>
      <c r="O60" s="2">
        <v>14.397</v>
      </c>
      <c r="P60" s="2">
        <v>0.36699999999999999</v>
      </c>
      <c r="Q60" s="2">
        <v>1.1549999999999998</v>
      </c>
      <c r="R60" s="2">
        <v>3.3278000000000008</v>
      </c>
      <c r="S60" s="2">
        <v>14.384</v>
      </c>
      <c r="T60" s="2">
        <v>73.1828</v>
      </c>
      <c r="U60" s="2">
        <v>63.527799999999999</v>
      </c>
      <c r="V60" s="2">
        <v>52.104599999999991</v>
      </c>
      <c r="W60" s="2">
        <v>59.586799999999997</v>
      </c>
      <c r="X60" s="2">
        <v>14.751000000000001</v>
      </c>
      <c r="Y60" s="2">
        <v>97.3</v>
      </c>
      <c r="Z60" s="2">
        <v>25.28</v>
      </c>
      <c r="AA60" s="2">
        <v>36.700000000000003</v>
      </c>
      <c r="AB60" s="2">
        <v>31.65</v>
      </c>
      <c r="AC60" s="2">
        <v>3.07</v>
      </c>
      <c r="AD60" s="2">
        <v>22.45</v>
      </c>
      <c r="AE60" s="2">
        <v>41.22</v>
      </c>
      <c r="AF60" s="2">
        <v>63.7</v>
      </c>
      <c r="AG60" s="2">
        <v>49.3</v>
      </c>
      <c r="AH60" s="2">
        <v>14.4</v>
      </c>
      <c r="AI60" s="2">
        <v>27.73</v>
      </c>
      <c r="AJ60" s="2">
        <v>5.9</v>
      </c>
      <c r="AK60" s="2">
        <v>1.0329999999999999</v>
      </c>
      <c r="AL60" s="2">
        <v>0.97299999999999998</v>
      </c>
      <c r="AM60" s="2">
        <v>1.0269999999999999</v>
      </c>
      <c r="AN60" s="2">
        <v>0.94199999999999995</v>
      </c>
      <c r="AO60" s="2">
        <v>1.0049999999999999</v>
      </c>
      <c r="AP60" s="2">
        <v>0.88800000000000001</v>
      </c>
      <c r="AQ60" s="2">
        <v>1.232</v>
      </c>
      <c r="AR60" s="2">
        <v>1.0620000000000001</v>
      </c>
      <c r="AS60" s="2">
        <v>13.49</v>
      </c>
      <c r="AT60" s="2">
        <v>238.2</v>
      </c>
      <c r="AU60" s="2">
        <v>1.3420000000000001</v>
      </c>
      <c r="AV60" s="2">
        <v>1.01</v>
      </c>
      <c r="AW60" s="2">
        <v>0.06</v>
      </c>
      <c r="AX60" s="2">
        <v>0.17599999999999999</v>
      </c>
      <c r="AY60" s="2">
        <v>0.76400000000000001</v>
      </c>
      <c r="AZ60" s="2">
        <v>0.27</v>
      </c>
      <c r="BA60" s="2">
        <v>1.1200000000000001</v>
      </c>
      <c r="BB60" s="2">
        <v>4.5</v>
      </c>
      <c r="BC60" s="2">
        <v>76</v>
      </c>
      <c r="BD60" s="2">
        <v>1.1000000000000001</v>
      </c>
      <c r="BE60" s="2">
        <v>5.6</v>
      </c>
      <c r="BF60" s="2">
        <v>85</v>
      </c>
      <c r="BG60" s="2">
        <v>77</v>
      </c>
      <c r="BH60" s="2">
        <v>432</v>
      </c>
      <c r="BI60" s="2">
        <v>133</v>
      </c>
      <c r="BJ60" s="2">
        <v>11</v>
      </c>
      <c r="BK60" s="2">
        <v>18.3</v>
      </c>
      <c r="BL60" s="2">
        <v>2.1</v>
      </c>
      <c r="BM60" s="2">
        <v>0.6</v>
      </c>
      <c r="BN60" s="2">
        <v>0</v>
      </c>
      <c r="BO60" s="2">
        <v>0.2</v>
      </c>
      <c r="BP60" s="2">
        <v>2.16</v>
      </c>
      <c r="BQ60" s="2">
        <v>1.0900000000000001</v>
      </c>
    </row>
    <row r="61" spans="1:69" x14ac:dyDescent="0.2">
      <c r="A61">
        <v>10</v>
      </c>
      <c r="B61">
        <v>235</v>
      </c>
      <c r="C61" t="s">
        <v>24</v>
      </c>
      <c r="D61" t="s">
        <v>7</v>
      </c>
      <c r="E61">
        <v>1</v>
      </c>
      <c r="F61" s="2">
        <v>121.73493975903573</v>
      </c>
      <c r="G61" s="2">
        <v>137.57678571428517</v>
      </c>
      <c r="H61" s="2">
        <v>429.72433734939727</v>
      </c>
      <c r="I61" s="2">
        <v>294.32410714285709</v>
      </c>
      <c r="J61" s="2">
        <v>551.45927710843296</v>
      </c>
      <c r="K61" s="2">
        <v>431.90089285714225</v>
      </c>
      <c r="L61" s="2">
        <v>15.84184595524944</v>
      </c>
      <c r="M61" s="2">
        <v>-119.5583842512907</v>
      </c>
      <c r="N61" s="2">
        <v>0.67449999999999999</v>
      </c>
      <c r="O61" s="2">
        <v>7.8064</v>
      </c>
      <c r="P61" s="2">
        <v>0.44899999999999995</v>
      </c>
      <c r="Q61" s="2">
        <v>2.0562</v>
      </c>
      <c r="R61" s="2">
        <v>1.0624624624624626</v>
      </c>
      <c r="S61" s="2">
        <v>11.9918</v>
      </c>
      <c r="T61" s="2">
        <v>35.176400000000001</v>
      </c>
      <c r="U61" s="2">
        <v>25.902302302302306</v>
      </c>
      <c r="V61" s="2">
        <v>14.52396476476477</v>
      </c>
      <c r="W61" s="2">
        <v>24.791799999999999</v>
      </c>
      <c r="X61" s="2">
        <v>12.440799999999999</v>
      </c>
      <c r="Y61" s="2">
        <v>107.02</v>
      </c>
      <c r="Z61" s="2">
        <v>47.92</v>
      </c>
      <c r="AA61" s="2">
        <v>27.88</v>
      </c>
      <c r="AB61" s="2">
        <v>26.13</v>
      </c>
      <c r="AC61" s="2">
        <v>4.5</v>
      </c>
      <c r="AD61" s="2">
        <v>11.6</v>
      </c>
      <c r="AE61" s="2">
        <v>28.59</v>
      </c>
      <c r="AF61" s="2">
        <v>40.200000000000003</v>
      </c>
      <c r="AG61" s="2">
        <v>54.2</v>
      </c>
      <c r="AH61" s="2">
        <v>-14</v>
      </c>
      <c r="AI61" s="2">
        <v>55.64</v>
      </c>
      <c r="AJ61" s="2">
        <v>11.19</v>
      </c>
      <c r="AK61" s="2">
        <v>1.488</v>
      </c>
      <c r="AL61" s="2">
        <v>0.56100000000000005</v>
      </c>
      <c r="AM61" s="2">
        <v>0.53</v>
      </c>
      <c r="AN61" s="2">
        <v>0.377</v>
      </c>
      <c r="AO61" s="2">
        <v>0.83399999999999996</v>
      </c>
      <c r="AP61" s="2">
        <v>0.24199999999999999</v>
      </c>
      <c r="AQ61" s="2">
        <v>1.355</v>
      </c>
      <c r="AR61" s="2">
        <v>0.55300000000000005</v>
      </c>
      <c r="AS61" s="2">
        <v>6.81</v>
      </c>
      <c r="AT61" s="2">
        <v>98.1</v>
      </c>
      <c r="AU61" s="2">
        <v>1.5369999999999999</v>
      </c>
      <c r="AV61" s="2">
        <v>10.63</v>
      </c>
      <c r="AW61" s="2">
        <v>0.113</v>
      </c>
      <c r="AX61" s="2">
        <v>0.25800000000000001</v>
      </c>
      <c r="AY61" s="2">
        <v>0.628</v>
      </c>
      <c r="AZ61" s="2">
        <v>0.13</v>
      </c>
      <c r="BA61" s="2">
        <v>1.1599999999999999</v>
      </c>
      <c r="BB61" s="2">
        <v>4.3</v>
      </c>
      <c r="BC61" s="2">
        <v>77</v>
      </c>
      <c r="BD61" s="2">
        <v>1</v>
      </c>
      <c r="BE61" s="2">
        <v>5.4</v>
      </c>
      <c r="BF61" s="2">
        <v>48</v>
      </c>
      <c r="BG61" s="2">
        <v>78</v>
      </c>
      <c r="BH61" s="2">
        <v>420</v>
      </c>
      <c r="BI61" s="2">
        <v>127</v>
      </c>
      <c r="BJ61" s="2">
        <v>12</v>
      </c>
      <c r="BK61" s="2">
        <v>41.6</v>
      </c>
      <c r="BL61" s="2">
        <v>1.7</v>
      </c>
      <c r="BM61" s="2">
        <v>1.1000000000000001</v>
      </c>
      <c r="BN61" s="2">
        <v>0</v>
      </c>
      <c r="BO61" s="2">
        <v>0.2</v>
      </c>
      <c r="BP61" s="2">
        <v>2.1</v>
      </c>
      <c r="BQ61" s="2">
        <v>1.04</v>
      </c>
    </row>
    <row r="62" spans="1:69" x14ac:dyDescent="0.2">
      <c r="A62">
        <v>20</v>
      </c>
      <c r="B62">
        <v>36</v>
      </c>
      <c r="C62" t="s">
        <v>22</v>
      </c>
      <c r="D62" t="s">
        <v>5</v>
      </c>
      <c r="E62">
        <v>1</v>
      </c>
      <c r="F62" s="2">
        <v>437.62222222222221</v>
      </c>
      <c r="G62" s="2">
        <v>407.08296228986814</v>
      </c>
      <c r="H62" s="2">
        <v>1070.0328888888889</v>
      </c>
      <c r="I62" s="2">
        <v>1098.7128032712403</v>
      </c>
      <c r="J62" s="2">
        <v>1507.6551111111112</v>
      </c>
      <c r="K62" s="2">
        <v>1505.7957655611085</v>
      </c>
      <c r="L62" s="2">
        <v>-30.539259932354071</v>
      </c>
      <c r="M62" s="2">
        <v>-1.8593455500026721</v>
      </c>
      <c r="N62" s="2" t="s">
        <v>14</v>
      </c>
      <c r="O62" s="2" t="s">
        <v>14</v>
      </c>
      <c r="P62" s="2" t="s">
        <v>14</v>
      </c>
      <c r="Q62" s="2">
        <v>0.94259999999999999</v>
      </c>
      <c r="R62" s="2">
        <v>3.8113999999999999</v>
      </c>
      <c r="S62" s="2" t="s">
        <v>14</v>
      </c>
      <c r="T62" s="2">
        <v>83.07480000000001</v>
      </c>
      <c r="U62" s="2">
        <v>77.944400000000002</v>
      </c>
      <c r="V62" s="2" t="s">
        <v>14</v>
      </c>
      <c r="W62" s="2" t="s">
        <v>14</v>
      </c>
      <c r="X62" s="2" t="s">
        <v>14</v>
      </c>
      <c r="Y62" s="2">
        <v>88.42</v>
      </c>
      <c r="Z62" s="2">
        <v>24.89</v>
      </c>
      <c r="AA62" s="2">
        <v>16.2</v>
      </c>
      <c r="AB62" s="2">
        <v>38.04</v>
      </c>
      <c r="AC62" s="2">
        <v>8.5500000000000007</v>
      </c>
      <c r="AD62" s="2">
        <v>22.54</v>
      </c>
      <c r="AE62" s="2">
        <v>15.83</v>
      </c>
      <c r="AF62" s="2">
        <v>38.4</v>
      </c>
      <c r="AG62" s="2">
        <v>44.8</v>
      </c>
      <c r="AH62" s="2">
        <v>-6.4</v>
      </c>
      <c r="AI62" s="2">
        <v>40.98</v>
      </c>
      <c r="AJ62" s="2">
        <v>9.07</v>
      </c>
      <c r="AK62" s="2">
        <v>0.99199999999999999</v>
      </c>
      <c r="AL62" s="2">
        <v>0.91800000000000004</v>
      </c>
      <c r="AM62" s="2">
        <v>0.93400000000000005</v>
      </c>
      <c r="AN62" s="2">
        <v>0.92600000000000005</v>
      </c>
      <c r="AO62" s="2">
        <v>0.91100000000000003</v>
      </c>
      <c r="AP62" s="2">
        <v>0.90600000000000003</v>
      </c>
      <c r="AQ62" s="2">
        <v>1.119</v>
      </c>
      <c r="AR62" s="2">
        <v>1.599</v>
      </c>
      <c r="AS62" s="2">
        <v>25.33</v>
      </c>
      <c r="AT62" s="2">
        <v>321.8</v>
      </c>
      <c r="AU62" s="2">
        <v>1.0840000000000001</v>
      </c>
      <c r="AV62" s="2">
        <v>0.34</v>
      </c>
      <c r="AW62" s="2">
        <v>8.8999999999999996E-2</v>
      </c>
      <c r="AX62" s="2">
        <v>0.29299999999999998</v>
      </c>
      <c r="AY62" s="2">
        <v>0.61799999999999999</v>
      </c>
      <c r="AZ62" s="2">
        <v>0.66</v>
      </c>
      <c r="BA62" s="2">
        <v>0.97</v>
      </c>
      <c r="BB62" s="2">
        <v>6.8</v>
      </c>
      <c r="BC62" s="2">
        <v>62</v>
      </c>
      <c r="BD62" s="2">
        <v>2.6</v>
      </c>
      <c r="BE62" s="2">
        <v>4.9000000000000004</v>
      </c>
      <c r="BF62" s="2">
        <v>65</v>
      </c>
      <c r="BG62" s="2">
        <v>88</v>
      </c>
      <c r="BH62" s="2">
        <v>603</v>
      </c>
      <c r="BI62" s="2">
        <v>123</v>
      </c>
      <c r="BJ62" s="2">
        <v>18</v>
      </c>
      <c r="BK62" s="2">
        <v>21.5</v>
      </c>
      <c r="BL62" s="2">
        <v>6.2</v>
      </c>
      <c r="BM62" s="2">
        <v>1.7</v>
      </c>
      <c r="BN62" s="2">
        <v>0</v>
      </c>
      <c r="BO62" s="2">
        <v>0.23</v>
      </c>
      <c r="BP62" s="2">
        <v>3.02</v>
      </c>
      <c r="BQ62" s="2">
        <v>1.01</v>
      </c>
    </row>
    <row r="63" spans="1:69" x14ac:dyDescent="0.2">
      <c r="A63">
        <v>20</v>
      </c>
      <c r="B63">
        <v>42</v>
      </c>
      <c r="C63" t="s">
        <v>22</v>
      </c>
      <c r="D63" t="s">
        <v>5</v>
      </c>
      <c r="E63">
        <v>4</v>
      </c>
      <c r="F63" s="2">
        <v>702.7084337349396</v>
      </c>
      <c r="G63" s="2">
        <v>641.66230366492152</v>
      </c>
      <c r="H63" s="2">
        <v>1129.9874698795181</v>
      </c>
      <c r="I63" s="2">
        <v>1377.3034554973822</v>
      </c>
      <c r="J63" s="2">
        <v>1832.6959036144576</v>
      </c>
      <c r="K63" s="2">
        <v>2018.9657591623036</v>
      </c>
      <c r="L63" s="2">
        <v>-61.04613007001808</v>
      </c>
      <c r="M63" s="2">
        <v>186.26985554784596</v>
      </c>
      <c r="N63" s="2">
        <v>4.4821999999999997</v>
      </c>
      <c r="O63" s="2">
        <v>59.611999999999995</v>
      </c>
      <c r="P63" s="2">
        <v>0.62539999999999996</v>
      </c>
      <c r="Q63" s="2">
        <v>1.8050000000000002</v>
      </c>
      <c r="R63" s="2">
        <v>1.5817999999999999</v>
      </c>
      <c r="S63" s="2">
        <v>42.406799999999997</v>
      </c>
      <c r="T63" s="2">
        <v>205.91479999999999</v>
      </c>
      <c r="U63" s="2">
        <v>243.44659999999999</v>
      </c>
      <c r="V63" s="2">
        <v>201.99619999999999</v>
      </c>
      <c r="W63" s="2">
        <v>164.6876</v>
      </c>
      <c r="X63" s="2">
        <v>43.032199999999996</v>
      </c>
      <c r="Y63" s="2">
        <v>77.19</v>
      </c>
      <c r="Z63" s="2">
        <v>35.31</v>
      </c>
      <c r="AA63" s="2">
        <v>18.18</v>
      </c>
      <c r="AB63" s="2">
        <v>15.54</v>
      </c>
      <c r="AC63" s="2">
        <v>7.47</v>
      </c>
      <c r="AD63" s="2">
        <v>23.14</v>
      </c>
      <c r="AE63" s="2">
        <v>22.84</v>
      </c>
      <c r="AF63" s="2">
        <v>46</v>
      </c>
      <c r="AG63" s="2">
        <v>39.1</v>
      </c>
      <c r="AH63" s="2">
        <v>6.9</v>
      </c>
      <c r="AI63" s="2">
        <v>22.37</v>
      </c>
      <c r="AJ63" s="2">
        <v>8.84</v>
      </c>
      <c r="AK63" s="2">
        <v>1.496</v>
      </c>
      <c r="AL63" s="2">
        <v>1.0940000000000001</v>
      </c>
      <c r="AM63" s="2">
        <v>0.86</v>
      </c>
      <c r="AN63" s="2">
        <v>0.73099999999999998</v>
      </c>
      <c r="AO63" s="2">
        <v>1.6359999999999999</v>
      </c>
      <c r="AP63" s="2">
        <v>0.65500000000000003</v>
      </c>
      <c r="AQ63" s="2">
        <v>0.97699999999999998</v>
      </c>
      <c r="AR63" s="2">
        <v>3.2320000000000002</v>
      </c>
      <c r="AS63" s="2">
        <v>45.83</v>
      </c>
      <c r="AT63" s="2">
        <v>508.5</v>
      </c>
      <c r="AU63" s="2">
        <v>0.91900000000000004</v>
      </c>
      <c r="AV63" s="2">
        <v>0.69</v>
      </c>
      <c r="AW63" s="2">
        <v>0.188</v>
      </c>
      <c r="AX63" s="2">
        <v>0.42399999999999999</v>
      </c>
      <c r="AY63" s="2">
        <v>0.38800000000000001</v>
      </c>
      <c r="AZ63" s="2">
        <v>0.92</v>
      </c>
      <c r="BA63" s="2">
        <v>0.82</v>
      </c>
      <c r="BB63" s="2">
        <v>8.1999999999999993</v>
      </c>
      <c r="BC63" s="2">
        <v>67</v>
      </c>
      <c r="BD63" s="2">
        <v>2.8</v>
      </c>
      <c r="BE63" s="2">
        <v>4.8</v>
      </c>
      <c r="BF63" s="2">
        <v>88</v>
      </c>
      <c r="BG63" s="2">
        <v>131</v>
      </c>
      <c r="BH63" s="2">
        <v>835</v>
      </c>
      <c r="BI63" s="2">
        <v>119</v>
      </c>
      <c r="BJ63" s="2">
        <v>25</v>
      </c>
      <c r="BK63" s="2">
        <v>29.6</v>
      </c>
      <c r="BL63" s="2">
        <v>8.8000000000000007</v>
      </c>
      <c r="BM63" s="2">
        <v>1.1000000000000001</v>
      </c>
      <c r="BN63" s="2">
        <v>0</v>
      </c>
      <c r="BO63" s="2">
        <v>0.34</v>
      </c>
      <c r="BP63" s="2">
        <v>4.18</v>
      </c>
      <c r="BQ63" s="2">
        <v>0.98</v>
      </c>
    </row>
    <row r="64" spans="1:69" x14ac:dyDescent="0.2">
      <c r="A64">
        <v>20</v>
      </c>
      <c r="B64">
        <v>47</v>
      </c>
      <c r="C64" t="s">
        <v>22</v>
      </c>
      <c r="D64" t="s">
        <v>0</v>
      </c>
      <c r="E64">
        <v>4</v>
      </c>
      <c r="F64" s="2">
        <v>610.86181172291299</v>
      </c>
      <c r="G64" s="2">
        <v>724.60031397174259</v>
      </c>
      <c r="H64" s="2">
        <v>981.66564831261098</v>
      </c>
      <c r="I64" s="2">
        <v>1183.3559811616954</v>
      </c>
      <c r="J64" s="2">
        <v>1592.527460035524</v>
      </c>
      <c r="K64" s="2">
        <v>1907.9562951334378</v>
      </c>
      <c r="L64" s="2">
        <v>113.7385022488296</v>
      </c>
      <c r="M64" s="2">
        <v>315.42883509791386</v>
      </c>
      <c r="N64" s="2">
        <v>3.4821999999999997</v>
      </c>
      <c r="O64" s="2">
        <v>40.679000000000002</v>
      </c>
      <c r="P64" s="2">
        <v>0.70520000000000005</v>
      </c>
      <c r="Q64" s="2">
        <v>2.9842</v>
      </c>
      <c r="R64" s="2">
        <v>1.629</v>
      </c>
      <c r="S64" s="2">
        <v>30.7958</v>
      </c>
      <c r="T64" s="2">
        <v>179.10459999999998</v>
      </c>
      <c r="U64" s="2">
        <v>189.21860000000001</v>
      </c>
      <c r="V64" s="2">
        <v>159.3466</v>
      </c>
      <c r="W64" s="2">
        <v>150.58779999999996</v>
      </c>
      <c r="X64" s="2">
        <v>31.501000000000001</v>
      </c>
      <c r="Y64" s="2">
        <v>82.1</v>
      </c>
      <c r="Z64" s="2">
        <v>41.91</v>
      </c>
      <c r="AA64" s="2">
        <v>18.21</v>
      </c>
      <c r="AB64" s="2">
        <v>15.99</v>
      </c>
      <c r="AC64" s="2">
        <v>5.35</v>
      </c>
      <c r="AD64" s="2">
        <v>35.24</v>
      </c>
      <c r="AE64" s="2">
        <v>21.57</v>
      </c>
      <c r="AF64" s="2">
        <v>56.8</v>
      </c>
      <c r="AG64" s="2">
        <v>41.6</v>
      </c>
      <c r="AH64" s="2">
        <v>15.2</v>
      </c>
      <c r="AI64" s="2">
        <v>18.809999999999999</v>
      </c>
      <c r="AJ64" s="2">
        <v>6.48</v>
      </c>
      <c r="AK64" s="2">
        <v>1.6379999999999999</v>
      </c>
      <c r="AL64" s="2">
        <v>1.4350000000000001</v>
      </c>
      <c r="AM64" s="2">
        <v>0.94499999999999995</v>
      </c>
      <c r="AN64" s="2">
        <v>0.876</v>
      </c>
      <c r="AO64" s="2">
        <v>2.35</v>
      </c>
      <c r="AP64" s="2">
        <v>0.84099999999999997</v>
      </c>
      <c r="AQ64" s="2">
        <v>1.0389999999999999</v>
      </c>
      <c r="AR64" s="2">
        <v>2.7850000000000001</v>
      </c>
      <c r="AS64" s="2">
        <v>35.57</v>
      </c>
      <c r="AT64" s="2">
        <v>604.1</v>
      </c>
      <c r="AU64" s="2">
        <v>1.091</v>
      </c>
      <c r="AV64" s="2">
        <v>0.67</v>
      </c>
      <c r="AW64" s="2">
        <v>0.152</v>
      </c>
      <c r="AX64" s="2">
        <v>0.33300000000000002</v>
      </c>
      <c r="AY64" s="2">
        <v>0.51500000000000001</v>
      </c>
      <c r="AZ64" s="2">
        <v>0.86</v>
      </c>
      <c r="BA64" s="2">
        <v>0.91</v>
      </c>
      <c r="BB64" s="2">
        <v>8</v>
      </c>
      <c r="BC64" s="2">
        <v>76</v>
      </c>
      <c r="BD64" s="2">
        <v>1.9</v>
      </c>
      <c r="BE64" s="2">
        <v>5.3</v>
      </c>
      <c r="BF64" s="2">
        <v>144</v>
      </c>
      <c r="BG64" s="2">
        <v>121</v>
      </c>
      <c r="BH64" s="2">
        <v>904</v>
      </c>
      <c r="BI64" s="2">
        <v>153</v>
      </c>
      <c r="BJ64" s="2">
        <v>19</v>
      </c>
      <c r="BK64" s="2">
        <v>27.1</v>
      </c>
      <c r="BL64" s="2">
        <v>20</v>
      </c>
      <c r="BM64" s="2">
        <v>3</v>
      </c>
      <c r="BN64" s="2">
        <v>0</v>
      </c>
      <c r="BO64" s="2">
        <v>0.31</v>
      </c>
      <c r="BP64" s="2">
        <v>4.5199999999999996</v>
      </c>
      <c r="BQ64" s="2">
        <v>1.26</v>
      </c>
    </row>
    <row r="65" spans="1:69" x14ac:dyDescent="0.2">
      <c r="A65">
        <v>20</v>
      </c>
      <c r="B65">
        <v>52</v>
      </c>
      <c r="C65" t="s">
        <v>22</v>
      </c>
      <c r="D65" t="s">
        <v>0</v>
      </c>
      <c r="E65">
        <v>2</v>
      </c>
      <c r="F65" s="2">
        <v>408.69047391096217</v>
      </c>
      <c r="G65" s="2">
        <v>499.31639722863747</v>
      </c>
      <c r="H65" s="2">
        <v>757.59371948300623</v>
      </c>
      <c r="I65" s="2">
        <v>839.08378752886824</v>
      </c>
      <c r="J65" s="2">
        <v>1166.2841933939685</v>
      </c>
      <c r="K65" s="2">
        <v>1338.4001847575057</v>
      </c>
      <c r="L65" s="2">
        <v>90.625923317675301</v>
      </c>
      <c r="M65" s="2">
        <v>172.1159913635372</v>
      </c>
      <c r="N65" s="2">
        <v>3.2262000000000004</v>
      </c>
      <c r="O65" s="2">
        <v>32.322000000000003</v>
      </c>
      <c r="P65" s="2">
        <v>0.51680000000000004</v>
      </c>
      <c r="Q65" s="2">
        <v>6.7506000000000004</v>
      </c>
      <c r="R65" s="2">
        <v>4.9626000000000001</v>
      </c>
      <c r="S65" s="2">
        <v>24.245799999999999</v>
      </c>
      <c r="T65" s="2">
        <v>115.98440000000001</v>
      </c>
      <c r="U65" s="2">
        <v>119.89960000000001</v>
      </c>
      <c r="V65" s="2">
        <v>100.09960000000001</v>
      </c>
      <c r="W65" s="2">
        <v>97.972400000000022</v>
      </c>
      <c r="X65" s="2">
        <v>24.762599999999999</v>
      </c>
      <c r="Y65" s="2">
        <v>90.58</v>
      </c>
      <c r="Z65" s="2">
        <v>30.74</v>
      </c>
      <c r="AA65" s="2">
        <v>36.450000000000003</v>
      </c>
      <c r="AB65" s="2">
        <v>19.45</v>
      </c>
      <c r="AC65" s="2">
        <v>3.44</v>
      </c>
      <c r="AD65" s="2">
        <v>28.45</v>
      </c>
      <c r="AE65" s="2">
        <v>40.32</v>
      </c>
      <c r="AF65" s="2">
        <v>68.8</v>
      </c>
      <c r="AG65" s="2">
        <v>45.9</v>
      </c>
      <c r="AH65" s="2">
        <v>22.9</v>
      </c>
      <c r="AI65" s="2">
        <v>18.28</v>
      </c>
      <c r="AJ65" s="2">
        <v>3.53</v>
      </c>
      <c r="AK65" s="2">
        <v>1.2609999999999999</v>
      </c>
      <c r="AL65" s="2">
        <v>1.2130000000000001</v>
      </c>
      <c r="AM65" s="2">
        <v>1.024</v>
      </c>
      <c r="AN65" s="2">
        <v>0.96199999999999997</v>
      </c>
      <c r="AO65" s="2">
        <v>1.5289999999999999</v>
      </c>
      <c r="AP65" s="2">
        <v>0.92600000000000005</v>
      </c>
      <c r="AQ65" s="2">
        <v>1.147</v>
      </c>
      <c r="AR65" s="2">
        <v>2.71</v>
      </c>
      <c r="AS65" s="2">
        <v>28.07</v>
      </c>
      <c r="AT65" s="2">
        <v>364.6</v>
      </c>
      <c r="AU65" s="2">
        <v>1.208</v>
      </c>
      <c r="AV65" s="2">
        <v>5.38</v>
      </c>
      <c r="AW65" s="2">
        <v>0.22</v>
      </c>
      <c r="AX65" s="2">
        <v>-8.0000000000000002E-3</v>
      </c>
      <c r="AY65" s="2">
        <v>0.78900000000000003</v>
      </c>
      <c r="AZ65" s="2">
        <v>0.32</v>
      </c>
      <c r="BA65" s="2">
        <v>0.98</v>
      </c>
      <c r="BB65" s="2">
        <v>8.6</v>
      </c>
      <c r="BC65" s="2">
        <v>81</v>
      </c>
      <c r="BD65" s="2">
        <v>1.6</v>
      </c>
      <c r="BE65" s="2">
        <v>5.6</v>
      </c>
      <c r="BF65" s="2">
        <v>272</v>
      </c>
      <c r="BG65" s="2">
        <v>137</v>
      </c>
      <c r="BH65" s="2">
        <v>1076</v>
      </c>
      <c r="BI65" s="2">
        <v>153</v>
      </c>
      <c r="BJ65" s="2">
        <v>19</v>
      </c>
      <c r="BK65" s="2">
        <v>36.5</v>
      </c>
      <c r="BL65" s="2">
        <v>59.5</v>
      </c>
      <c r="BM65" s="2">
        <v>1.9</v>
      </c>
      <c r="BN65" s="2">
        <v>0</v>
      </c>
      <c r="BO65" s="2">
        <v>0.35</v>
      </c>
      <c r="BP65" s="2">
        <v>5.38</v>
      </c>
      <c r="BQ65" s="2">
        <v>1.26</v>
      </c>
    </row>
    <row r="66" spans="1:69" x14ac:dyDescent="0.2">
      <c r="A66">
        <v>20</v>
      </c>
      <c r="B66">
        <v>96</v>
      </c>
      <c r="C66" t="s">
        <v>22</v>
      </c>
      <c r="D66" t="s">
        <v>0</v>
      </c>
      <c r="E66">
        <v>3</v>
      </c>
      <c r="F66" s="2">
        <v>282.87609756097572</v>
      </c>
      <c r="G66" s="2">
        <v>215.85949696444067</v>
      </c>
      <c r="H66" s="2">
        <v>681.19180487804874</v>
      </c>
      <c r="I66" s="2">
        <v>656.21287077189947</v>
      </c>
      <c r="J66" s="2">
        <v>964.06790243902446</v>
      </c>
      <c r="K66" s="2">
        <v>872.07236773634008</v>
      </c>
      <c r="L66" s="2">
        <v>-67.016600596535056</v>
      </c>
      <c r="M66" s="2">
        <v>-91.995534702684381</v>
      </c>
      <c r="N66" s="2">
        <v>1.5548999999999999</v>
      </c>
      <c r="O66" s="2">
        <v>20.177</v>
      </c>
      <c r="P66" s="2">
        <v>0.38619999999999999</v>
      </c>
      <c r="Q66" s="2">
        <v>0.82979999999999998</v>
      </c>
      <c r="R66" s="2">
        <v>0.99299999999999999</v>
      </c>
      <c r="S66" s="2">
        <v>14.432599999999999</v>
      </c>
      <c r="T66" s="2">
        <v>68.691600000000008</v>
      </c>
      <c r="U66" s="2">
        <v>61.317999999999998</v>
      </c>
      <c r="V66" s="2">
        <v>47.492199999999997</v>
      </c>
      <c r="W66" s="2">
        <v>54.702600000000018</v>
      </c>
      <c r="X66" s="2">
        <v>14.8188</v>
      </c>
      <c r="Y66" s="2">
        <v>94.83</v>
      </c>
      <c r="Z66" s="2">
        <v>35.67</v>
      </c>
      <c r="AA66" s="2">
        <v>21.89</v>
      </c>
      <c r="AB66" s="2">
        <v>24.86</v>
      </c>
      <c r="AC66" s="2">
        <v>11.71</v>
      </c>
      <c r="AD66" s="2">
        <v>31.61</v>
      </c>
      <c r="AE66" s="2">
        <v>23.57</v>
      </c>
      <c r="AF66" s="2">
        <v>55.2</v>
      </c>
      <c r="AG66" s="2">
        <v>48</v>
      </c>
      <c r="AH66" s="2">
        <v>7.2</v>
      </c>
      <c r="AI66" s="2">
        <v>28.49</v>
      </c>
      <c r="AJ66" s="2">
        <v>11.16</v>
      </c>
      <c r="AK66" s="2">
        <v>1.2689999999999999</v>
      </c>
      <c r="AL66" s="2">
        <v>1.1619999999999999</v>
      </c>
      <c r="AM66" s="2">
        <v>0.95899999999999996</v>
      </c>
      <c r="AN66" s="2">
        <v>0.91600000000000004</v>
      </c>
      <c r="AO66" s="2">
        <v>1.4750000000000001</v>
      </c>
      <c r="AP66" s="2">
        <v>0.88600000000000001</v>
      </c>
      <c r="AQ66" s="2">
        <v>1.2</v>
      </c>
      <c r="AR66" s="2">
        <v>1.42</v>
      </c>
      <c r="AS66" s="2">
        <v>19.96</v>
      </c>
      <c r="AT66" s="2">
        <v>281.3</v>
      </c>
      <c r="AU66" s="2">
        <v>1.349</v>
      </c>
      <c r="AV66" s="2">
        <v>0.26</v>
      </c>
      <c r="AW66" s="2">
        <v>0.124</v>
      </c>
      <c r="AX66" s="2">
        <v>0.27400000000000002</v>
      </c>
      <c r="AY66" s="2">
        <v>0.60199999999999998</v>
      </c>
      <c r="AZ66" s="2">
        <v>0.56000000000000005</v>
      </c>
      <c r="BA66" s="2">
        <v>0.97</v>
      </c>
      <c r="BB66" s="2">
        <v>4.3</v>
      </c>
      <c r="BC66" s="2">
        <v>54</v>
      </c>
      <c r="BD66" s="2">
        <v>2</v>
      </c>
      <c r="BE66" s="2">
        <v>4.7</v>
      </c>
      <c r="BF66" s="2">
        <v>15</v>
      </c>
      <c r="BG66" s="2">
        <v>43</v>
      </c>
      <c r="BH66" s="2">
        <v>351</v>
      </c>
      <c r="BI66" s="2">
        <v>58</v>
      </c>
      <c r="BJ66" s="2">
        <v>14</v>
      </c>
      <c r="BK66" s="2">
        <v>4.2</v>
      </c>
      <c r="BL66" s="2">
        <v>1.3</v>
      </c>
      <c r="BM66" s="2">
        <v>0.5</v>
      </c>
      <c r="BN66" s="2">
        <v>0.1</v>
      </c>
      <c r="BO66" s="2">
        <v>0.11</v>
      </c>
      <c r="BP66" s="2">
        <v>1.76</v>
      </c>
      <c r="BQ66" s="2">
        <v>0.48</v>
      </c>
    </row>
    <row r="67" spans="1:69" x14ac:dyDescent="0.2">
      <c r="A67">
        <v>20</v>
      </c>
      <c r="B67">
        <v>168</v>
      </c>
      <c r="C67" t="s">
        <v>22</v>
      </c>
      <c r="D67" t="s">
        <v>5</v>
      </c>
      <c r="E67">
        <v>3</v>
      </c>
      <c r="F67" s="2">
        <v>192.82277745496796</v>
      </c>
      <c r="G67" s="2">
        <v>116.49968567579697</v>
      </c>
      <c r="H67" s="2">
        <v>714.49603718768151</v>
      </c>
      <c r="I67" s="2">
        <v>697.1016075437808</v>
      </c>
      <c r="J67" s="2">
        <v>907.3188146426495</v>
      </c>
      <c r="K67" s="2">
        <v>813.60129321957777</v>
      </c>
      <c r="L67" s="2">
        <v>-76.323091779170994</v>
      </c>
      <c r="M67" s="2">
        <v>-93.71752142307173</v>
      </c>
      <c r="N67" s="2">
        <v>1.9262999999999999</v>
      </c>
      <c r="O67" s="2">
        <v>36.42</v>
      </c>
      <c r="P67" s="2">
        <v>0.42519440124416791</v>
      </c>
      <c r="Q67" s="2">
        <v>0.80020000000000002</v>
      </c>
      <c r="R67" s="2">
        <v>4.9770000000000003</v>
      </c>
      <c r="S67" s="2">
        <v>12.66687402799378</v>
      </c>
      <c r="T67" s="2">
        <v>41.7348</v>
      </c>
      <c r="U67" s="2">
        <v>51.853200000000001</v>
      </c>
      <c r="V67" s="2">
        <v>43.738131570762057</v>
      </c>
      <c r="W67" s="2">
        <v>29.442931570762049</v>
      </c>
      <c r="X67" s="2">
        <v>13.092068429237948</v>
      </c>
      <c r="Y67" s="2">
        <v>88.17</v>
      </c>
      <c r="Z67" s="2">
        <v>30.79</v>
      </c>
      <c r="AA67" s="2">
        <v>18.579999999999998</v>
      </c>
      <c r="AB67" s="2">
        <v>24.81</v>
      </c>
      <c r="AC67" s="2">
        <v>13.22</v>
      </c>
      <c r="AD67" s="2">
        <v>27.03</v>
      </c>
      <c r="AE67" s="2">
        <v>20.2</v>
      </c>
      <c r="AF67" s="2">
        <v>47.2</v>
      </c>
      <c r="AG67" s="2">
        <v>44.6</v>
      </c>
      <c r="AH67" s="2">
        <v>2.6</v>
      </c>
      <c r="AI67" s="2">
        <v>28.88</v>
      </c>
      <c r="AJ67" s="2">
        <v>12.06</v>
      </c>
      <c r="AK67" s="2">
        <v>1.1819999999999999</v>
      </c>
      <c r="AL67" s="2">
        <v>1.0780000000000001</v>
      </c>
      <c r="AM67" s="2">
        <v>0.95699999999999996</v>
      </c>
      <c r="AN67" s="2">
        <v>0.91200000000000003</v>
      </c>
      <c r="AO67" s="2">
        <v>1.2749999999999999</v>
      </c>
      <c r="AP67" s="2">
        <v>0.878</v>
      </c>
      <c r="AQ67" s="2">
        <v>1.1160000000000001</v>
      </c>
      <c r="AR67" s="2">
        <v>1.72</v>
      </c>
      <c r="AS67" s="2">
        <v>33.89</v>
      </c>
      <c r="AT67" s="2">
        <v>263.60000000000002</v>
      </c>
      <c r="AU67" s="2">
        <v>1.143</v>
      </c>
      <c r="AV67" s="2">
        <v>0.53</v>
      </c>
      <c r="AW67" s="2">
        <v>0.10299999999999999</v>
      </c>
      <c r="AX67" s="2">
        <v>0.33300000000000002</v>
      </c>
      <c r="AY67" s="2">
        <v>0.56399999999999995</v>
      </c>
      <c r="AZ67" s="2">
        <v>1.08</v>
      </c>
      <c r="BA67" s="2">
        <v>0.96</v>
      </c>
      <c r="BB67" s="2">
        <v>5.4</v>
      </c>
      <c r="BC67" s="2">
        <v>24</v>
      </c>
      <c r="BD67" s="2">
        <v>4.0999999999999996</v>
      </c>
      <c r="BE67" s="2">
        <v>4</v>
      </c>
      <c r="BF67" s="2">
        <v>25</v>
      </c>
      <c r="BG67" s="2">
        <v>47</v>
      </c>
      <c r="BH67" s="2">
        <v>154</v>
      </c>
      <c r="BI67" s="2">
        <v>47</v>
      </c>
      <c r="BJ67" s="2">
        <v>20</v>
      </c>
      <c r="BK67" s="2">
        <v>1.5</v>
      </c>
      <c r="BL67" s="2">
        <v>1.4</v>
      </c>
      <c r="BM67" s="2">
        <v>0.4</v>
      </c>
      <c r="BN67" s="2">
        <v>0.1</v>
      </c>
      <c r="BO67" s="2">
        <v>0.12</v>
      </c>
      <c r="BP67" s="2">
        <v>0.77</v>
      </c>
      <c r="BQ67" s="2">
        <v>0.39</v>
      </c>
    </row>
    <row r="68" spans="1:69" x14ac:dyDescent="0.2">
      <c r="A68">
        <v>20</v>
      </c>
      <c r="B68">
        <v>182</v>
      </c>
      <c r="C68" t="s">
        <v>22</v>
      </c>
      <c r="D68" t="s">
        <v>0</v>
      </c>
      <c r="E68">
        <v>1</v>
      </c>
      <c r="F68" s="2">
        <v>510.74492099322799</v>
      </c>
      <c r="G68" s="2">
        <v>506.25804676753791</v>
      </c>
      <c r="H68" s="2">
        <v>860.77544018058711</v>
      </c>
      <c r="I68" s="2">
        <v>822.46184319119664</v>
      </c>
      <c r="J68" s="2">
        <v>1371.5203611738152</v>
      </c>
      <c r="K68" s="2">
        <v>1328.7198899587345</v>
      </c>
      <c r="L68" s="2">
        <v>-4.4868742256900873</v>
      </c>
      <c r="M68" s="2">
        <v>-42.800471215080734</v>
      </c>
      <c r="N68" s="2" t="s">
        <v>14</v>
      </c>
      <c r="O68" s="2" t="s">
        <v>14</v>
      </c>
      <c r="P68" s="2" t="s">
        <v>14</v>
      </c>
      <c r="Q68" s="2">
        <v>1.8721999999999999</v>
      </c>
      <c r="R68" s="2">
        <v>1.0274000000000001</v>
      </c>
      <c r="S68" s="2" t="s">
        <v>14</v>
      </c>
      <c r="T68" s="2">
        <v>108.28760000000001</v>
      </c>
      <c r="U68" s="2">
        <v>109.14360000000001</v>
      </c>
      <c r="V68" s="2" t="s">
        <v>14</v>
      </c>
      <c r="W68" s="2" t="s">
        <v>14</v>
      </c>
      <c r="X68" s="2" t="s">
        <v>14</v>
      </c>
      <c r="Y68" s="2">
        <v>90.75</v>
      </c>
      <c r="Z68" s="2">
        <v>26.14</v>
      </c>
      <c r="AA68" s="2">
        <v>13.84</v>
      </c>
      <c r="AB68" s="2">
        <v>40.369999999999997</v>
      </c>
      <c r="AC68" s="2">
        <v>9.6</v>
      </c>
      <c r="AD68" s="2">
        <v>25.54</v>
      </c>
      <c r="AE68" s="2">
        <v>14.15</v>
      </c>
      <c r="AF68" s="2">
        <v>39.700000000000003</v>
      </c>
      <c r="AG68" s="2">
        <v>45.9</v>
      </c>
      <c r="AH68" s="2">
        <v>-6.3</v>
      </c>
      <c r="AI68" s="2">
        <v>43.04</v>
      </c>
      <c r="AJ68" s="2">
        <v>8.02</v>
      </c>
      <c r="AK68" s="2">
        <v>0.99399999999999999</v>
      </c>
      <c r="AL68" s="2">
        <v>0.98099999999999998</v>
      </c>
      <c r="AM68" s="2">
        <v>0.99299999999999999</v>
      </c>
      <c r="AN68" s="2">
        <v>0.98699999999999999</v>
      </c>
      <c r="AO68" s="2">
        <v>0.97499999999999998</v>
      </c>
      <c r="AP68" s="2">
        <v>0.97699999999999998</v>
      </c>
      <c r="AQ68" s="2">
        <v>1.149</v>
      </c>
      <c r="AR68" s="2">
        <v>1.7829999999999999</v>
      </c>
      <c r="AS68" s="2">
        <v>22.57</v>
      </c>
      <c r="AT68" s="2">
        <v>413.7</v>
      </c>
      <c r="AU68" s="2">
        <v>1.1879999999999999</v>
      </c>
      <c r="AV68" s="2">
        <v>0.51</v>
      </c>
      <c r="AW68" s="2">
        <v>6.0999999999999999E-2</v>
      </c>
      <c r="AX68" s="2">
        <v>0.28899999999999998</v>
      </c>
      <c r="AY68" s="2">
        <v>0.65</v>
      </c>
      <c r="AZ68" s="2">
        <v>0.56000000000000005</v>
      </c>
      <c r="BA68" s="2">
        <v>1.03</v>
      </c>
      <c r="BB68" s="2">
        <v>6</v>
      </c>
      <c r="BC68" s="2">
        <v>73</v>
      </c>
      <c r="BD68" s="2">
        <v>1.6</v>
      </c>
      <c r="BE68" s="2">
        <v>5.4</v>
      </c>
      <c r="BF68" s="2">
        <v>63</v>
      </c>
      <c r="BG68" s="2">
        <v>91</v>
      </c>
      <c r="BH68" s="2">
        <v>643</v>
      </c>
      <c r="BI68" s="2">
        <v>119</v>
      </c>
      <c r="BJ68" s="2">
        <v>16</v>
      </c>
      <c r="BK68" s="2">
        <v>18.399999999999999</v>
      </c>
      <c r="BL68" s="2">
        <v>7.8</v>
      </c>
      <c r="BM68" s="2">
        <v>0.9</v>
      </c>
      <c r="BN68" s="2">
        <v>0</v>
      </c>
      <c r="BO68" s="2">
        <v>0.23</v>
      </c>
      <c r="BP68" s="2">
        <v>3.22</v>
      </c>
      <c r="BQ68" s="2">
        <v>0.98</v>
      </c>
    </row>
    <row r="69" spans="1:69" x14ac:dyDescent="0.2">
      <c r="A69">
        <v>10</v>
      </c>
      <c r="B69">
        <v>185</v>
      </c>
      <c r="C69" t="s">
        <v>22</v>
      </c>
      <c r="D69" t="s">
        <v>7</v>
      </c>
      <c r="E69">
        <v>3</v>
      </c>
      <c r="F69" s="2">
        <v>302.0912064177719</v>
      </c>
      <c r="G69" s="2">
        <v>298.22187902187881</v>
      </c>
      <c r="H69" s="2">
        <v>746.3429805615549</v>
      </c>
      <c r="I69" s="2">
        <v>1392.7135135135134</v>
      </c>
      <c r="J69" s="2">
        <v>1048.4341869793268</v>
      </c>
      <c r="K69" s="2">
        <v>1690.9353925353921</v>
      </c>
      <c r="L69" s="2">
        <v>-3.8693273958930945</v>
      </c>
      <c r="M69" s="2">
        <v>642.50120555606532</v>
      </c>
      <c r="N69" s="2">
        <v>1.5510999999999999</v>
      </c>
      <c r="O69" s="2">
        <v>20.579000000000001</v>
      </c>
      <c r="P69" s="2">
        <v>-0.70000000000000007</v>
      </c>
      <c r="Q69" s="2">
        <v>9.5866666666666678</v>
      </c>
      <c r="R69" s="2">
        <v>2.3287700534759361</v>
      </c>
      <c r="S69" s="2">
        <v>47.260416666666671</v>
      </c>
      <c r="T69" s="2">
        <v>77.539869281045739</v>
      </c>
      <c r="U69" s="2">
        <v>68.535614973262042</v>
      </c>
      <c r="V69" s="2">
        <v>24.303968360071309</v>
      </c>
      <c r="W69" s="2">
        <v>40.566119281045744</v>
      </c>
      <c r="X69" s="2">
        <v>46.560416666666669</v>
      </c>
      <c r="Y69" s="2">
        <v>97.06</v>
      </c>
      <c r="Z69" s="2">
        <v>54.89</v>
      </c>
      <c r="AA69" s="2">
        <v>14.8</v>
      </c>
      <c r="AB69" s="2">
        <v>16.04</v>
      </c>
      <c r="AC69" s="2">
        <v>10.75</v>
      </c>
      <c r="AD69" s="2">
        <v>10.11</v>
      </c>
      <c r="AE69" s="2">
        <v>11.56</v>
      </c>
      <c r="AF69" s="2">
        <v>21.7</v>
      </c>
      <c r="AG69" s="2">
        <v>49.1</v>
      </c>
      <c r="AH69" s="2">
        <v>-27.5</v>
      </c>
      <c r="AI69" s="2">
        <v>61.86</v>
      </c>
      <c r="AJ69" s="2">
        <v>13.53</v>
      </c>
      <c r="AK69" s="2">
        <v>1.7490000000000001</v>
      </c>
      <c r="AL69" s="2">
        <v>0.47499999999999998</v>
      </c>
      <c r="AM69" s="2">
        <v>0.311</v>
      </c>
      <c r="AN69" s="2">
        <v>0.27100000000000002</v>
      </c>
      <c r="AO69" s="2">
        <v>0.83</v>
      </c>
      <c r="AP69" s="2">
        <v>0.184</v>
      </c>
      <c r="AQ69" s="2">
        <v>1.2290000000000001</v>
      </c>
      <c r="AR69" s="2">
        <v>0.89900000000000002</v>
      </c>
      <c r="AS69" s="2">
        <v>13.03</v>
      </c>
      <c r="AT69" s="2">
        <v>156</v>
      </c>
      <c r="AU69" s="2">
        <v>1.536</v>
      </c>
      <c r="AV69" s="2">
        <v>0.01</v>
      </c>
      <c r="AW69" s="2">
        <v>0.14399999999999999</v>
      </c>
      <c r="AX69" s="2">
        <v>0.46700000000000003</v>
      </c>
      <c r="AY69" s="2">
        <v>0.38900000000000001</v>
      </c>
      <c r="AZ69" s="2">
        <v>0.76</v>
      </c>
      <c r="BA69" s="2">
        <v>1.1299999999999999</v>
      </c>
      <c r="BB69" s="2">
        <v>8.1</v>
      </c>
      <c r="BC69" s="2">
        <v>87</v>
      </c>
      <c r="BD69" s="2">
        <v>1</v>
      </c>
      <c r="BE69" s="2">
        <v>5.9</v>
      </c>
      <c r="BF69" s="2">
        <v>68</v>
      </c>
      <c r="BG69" s="2">
        <v>103</v>
      </c>
      <c r="BH69" s="2">
        <v>1027</v>
      </c>
      <c r="BI69" s="2">
        <v>205</v>
      </c>
      <c r="BJ69" s="2">
        <v>12</v>
      </c>
      <c r="BK69" s="2">
        <v>10.5</v>
      </c>
      <c r="BL69" s="2">
        <v>4</v>
      </c>
      <c r="BM69" s="2">
        <v>1.3</v>
      </c>
      <c r="BN69" s="2">
        <v>0</v>
      </c>
      <c r="BO69" s="2">
        <v>0.26</v>
      </c>
      <c r="BP69" s="2">
        <v>5.14</v>
      </c>
      <c r="BQ69" s="2">
        <v>1.69</v>
      </c>
    </row>
    <row r="70" spans="1:69" x14ac:dyDescent="0.2">
      <c r="A70">
        <v>10</v>
      </c>
      <c r="B70">
        <v>194</v>
      </c>
      <c r="C70" t="s">
        <v>22</v>
      </c>
      <c r="D70" t="s">
        <v>7</v>
      </c>
      <c r="E70">
        <v>4</v>
      </c>
      <c r="F70" s="2">
        <v>21.43705799151298</v>
      </c>
      <c r="G70" s="2">
        <v>177.2631578947362</v>
      </c>
      <c r="H70" s="2">
        <v>123.26308345120211</v>
      </c>
      <c r="I70" s="2">
        <v>325.40451127819506</v>
      </c>
      <c r="J70" s="2">
        <v>144.70014144271508</v>
      </c>
      <c r="K70" s="2">
        <v>502.66766917293126</v>
      </c>
      <c r="L70" s="2">
        <v>155.82609990322322</v>
      </c>
      <c r="M70" s="2">
        <v>357.96752773021615</v>
      </c>
      <c r="N70" s="2">
        <v>0.441</v>
      </c>
      <c r="O70" s="2">
        <v>4.6956999999999995</v>
      </c>
      <c r="P70" s="2">
        <v>0.56220000000000003</v>
      </c>
      <c r="Q70" s="2">
        <v>0.92672672672672685</v>
      </c>
      <c r="R70" s="2">
        <v>1.5777777777777779</v>
      </c>
      <c r="S70" s="2">
        <v>10.693199999999999</v>
      </c>
      <c r="T70" s="2">
        <v>20.108908908908909</v>
      </c>
      <c r="U70" s="2">
        <v>21.594794794794797</v>
      </c>
      <c r="V70" s="2">
        <v>11.917172572572577</v>
      </c>
      <c r="W70" s="2">
        <v>9.7802356356356359</v>
      </c>
      <c r="X70" s="2">
        <v>11.2554</v>
      </c>
      <c r="Y70" s="2">
        <v>108.06</v>
      </c>
      <c r="Z70" s="2">
        <v>39.619999999999997</v>
      </c>
      <c r="AA70" s="2">
        <v>33.78</v>
      </c>
      <c r="AB70" s="2">
        <v>28.68</v>
      </c>
      <c r="AC70" s="2">
        <v>5.55</v>
      </c>
      <c r="AD70" s="2">
        <v>5.73</v>
      </c>
      <c r="AE70" s="2">
        <v>36.74</v>
      </c>
      <c r="AF70" s="2">
        <v>42.5</v>
      </c>
      <c r="AG70" s="2">
        <v>54.7</v>
      </c>
      <c r="AH70" s="2">
        <v>-12.2</v>
      </c>
      <c r="AI70" s="2">
        <v>53.31</v>
      </c>
      <c r="AJ70" s="2">
        <v>12.28</v>
      </c>
      <c r="AK70" s="2">
        <v>1.2909999999999999</v>
      </c>
      <c r="AL70" s="2">
        <v>0.443</v>
      </c>
      <c r="AM70" s="2">
        <v>0.57899999999999996</v>
      </c>
      <c r="AN70" s="2">
        <v>0.34300000000000003</v>
      </c>
      <c r="AO70" s="2">
        <v>0.57199999999999995</v>
      </c>
      <c r="AP70" s="2">
        <v>0.14499999999999999</v>
      </c>
      <c r="AQ70" s="2">
        <v>1.3680000000000001</v>
      </c>
      <c r="AR70" s="2">
        <v>0.48599999999999999</v>
      </c>
      <c r="AS70" s="2">
        <v>5.8</v>
      </c>
      <c r="AT70" s="2">
        <v>76.7</v>
      </c>
      <c r="AU70" s="2">
        <v>1.645</v>
      </c>
      <c r="AV70" s="2">
        <v>0.03</v>
      </c>
      <c r="AW70" s="2">
        <v>0.13900000000000001</v>
      </c>
      <c r="AX70" s="2">
        <v>0.2</v>
      </c>
      <c r="AY70" s="2">
        <v>0.66100000000000003</v>
      </c>
      <c r="AZ70" s="2">
        <v>0.13</v>
      </c>
      <c r="BA70" s="2">
        <v>1.26</v>
      </c>
      <c r="BB70" s="2">
        <v>5.7</v>
      </c>
      <c r="BC70" s="2">
        <v>85</v>
      </c>
      <c r="BD70" s="2">
        <v>0.8</v>
      </c>
      <c r="BE70" s="2">
        <v>6.2</v>
      </c>
      <c r="BF70" s="2">
        <v>79</v>
      </c>
      <c r="BG70" s="2">
        <v>99</v>
      </c>
      <c r="BH70" s="2">
        <v>693</v>
      </c>
      <c r="BI70" s="2">
        <v>142</v>
      </c>
      <c r="BJ70" s="2">
        <v>9</v>
      </c>
      <c r="BK70" s="2">
        <v>28.9</v>
      </c>
      <c r="BL70" s="2">
        <v>5.0999999999999996</v>
      </c>
      <c r="BM70" s="2">
        <v>2</v>
      </c>
      <c r="BN70" s="2">
        <v>0</v>
      </c>
      <c r="BO70" s="2">
        <v>0.25</v>
      </c>
      <c r="BP70" s="2">
        <v>3.47</v>
      </c>
      <c r="BQ70" s="2">
        <v>1.17</v>
      </c>
    </row>
    <row r="71" spans="1:69" x14ac:dyDescent="0.2">
      <c r="A71">
        <v>10</v>
      </c>
      <c r="B71">
        <v>215</v>
      </c>
      <c r="C71" t="s">
        <v>22</v>
      </c>
      <c r="D71" t="s">
        <v>7</v>
      </c>
      <c r="E71">
        <v>1</v>
      </c>
      <c r="F71" s="2">
        <v>163.67629733520289</v>
      </c>
      <c r="G71" s="2">
        <v>133.03889845094614</v>
      </c>
      <c r="H71" s="2">
        <v>309.28443197755922</v>
      </c>
      <c r="I71" s="2">
        <v>256.94767641996543</v>
      </c>
      <c r="J71" s="2">
        <v>472.96072931276211</v>
      </c>
      <c r="K71" s="2">
        <v>389.98657487091157</v>
      </c>
      <c r="L71" s="2">
        <v>-30.637398884256754</v>
      </c>
      <c r="M71" s="2">
        <v>-82.974154441850544</v>
      </c>
      <c r="N71" s="2">
        <v>1.0469999999999999</v>
      </c>
      <c r="O71" s="2">
        <v>12.026</v>
      </c>
      <c r="P71" s="2">
        <v>0.24659999999999999</v>
      </c>
      <c r="Q71" s="2">
        <v>1.7309999999999999</v>
      </c>
      <c r="R71" s="2">
        <v>1.3361999999999998</v>
      </c>
      <c r="S71" s="2">
        <v>6.5269999999999992</v>
      </c>
      <c r="T71" s="2">
        <v>30.139999999999997</v>
      </c>
      <c r="U71" s="2">
        <v>11.187199999999999</v>
      </c>
      <c r="V71" s="2">
        <v>5.7497999999999996</v>
      </c>
      <c r="W71" s="2">
        <v>25.097399999999997</v>
      </c>
      <c r="X71" s="2">
        <v>6.7735999999999992</v>
      </c>
      <c r="Y71" s="2">
        <v>111.86</v>
      </c>
      <c r="Z71" s="2">
        <v>15.44</v>
      </c>
      <c r="AA71" s="2">
        <v>29.25</v>
      </c>
      <c r="AB71" s="2">
        <v>58.05</v>
      </c>
      <c r="AC71" s="2">
        <v>8.51</v>
      </c>
      <c r="AD71" s="2">
        <v>7.51</v>
      </c>
      <c r="AE71" s="2">
        <v>33.43</v>
      </c>
      <c r="AF71" s="2">
        <v>40.9</v>
      </c>
      <c r="AG71" s="2">
        <v>56.6</v>
      </c>
      <c r="AH71" s="2">
        <v>-15.7</v>
      </c>
      <c r="AI71" s="2">
        <v>63.55</v>
      </c>
      <c r="AJ71" s="2">
        <v>7.37</v>
      </c>
      <c r="AK71" s="2">
        <v>0.64100000000000001</v>
      </c>
      <c r="AL71" s="2">
        <v>0.46800000000000003</v>
      </c>
      <c r="AM71" s="2">
        <v>0.91600000000000004</v>
      </c>
      <c r="AN71" s="2">
        <v>0.73</v>
      </c>
      <c r="AO71" s="2">
        <v>0.3</v>
      </c>
      <c r="AP71" s="2">
        <v>0.48599999999999999</v>
      </c>
      <c r="AQ71" s="2">
        <v>1.4159999999999999</v>
      </c>
      <c r="AR71" s="2">
        <v>1.024</v>
      </c>
      <c r="AS71" s="2">
        <v>11.52</v>
      </c>
      <c r="AT71" s="2">
        <v>124.2</v>
      </c>
      <c r="AU71" s="2">
        <v>1.4390000000000001</v>
      </c>
      <c r="AV71" s="2">
        <v>0.37</v>
      </c>
      <c r="AW71" s="2">
        <v>4.5999999999999999E-2</v>
      </c>
      <c r="AX71" s="2">
        <v>0.159</v>
      </c>
      <c r="AY71" s="2">
        <v>0.79400000000000004</v>
      </c>
      <c r="AZ71" s="2">
        <v>0.41</v>
      </c>
      <c r="BA71" s="2">
        <v>1.29</v>
      </c>
      <c r="BB71" s="2">
        <v>7.5</v>
      </c>
      <c r="BC71" s="2">
        <v>88</v>
      </c>
      <c r="BD71" s="2">
        <v>0.9</v>
      </c>
      <c r="BE71" s="2">
        <v>6.1</v>
      </c>
      <c r="BF71" s="2">
        <v>258</v>
      </c>
      <c r="BG71" s="2">
        <v>120</v>
      </c>
      <c r="BH71" s="2">
        <v>1080</v>
      </c>
      <c r="BI71" s="2">
        <v>114</v>
      </c>
      <c r="BJ71" s="2">
        <v>12</v>
      </c>
      <c r="BK71" s="2">
        <v>21.6</v>
      </c>
      <c r="BL71" s="2">
        <v>18.5</v>
      </c>
      <c r="BM71" s="2">
        <v>3</v>
      </c>
      <c r="BN71" s="2">
        <v>0</v>
      </c>
      <c r="BO71" s="2">
        <v>0.31</v>
      </c>
      <c r="BP71" s="2">
        <v>5.4</v>
      </c>
      <c r="BQ71" s="2">
        <v>0.94</v>
      </c>
    </row>
    <row r="72" spans="1:69" x14ac:dyDescent="0.2">
      <c r="A72">
        <v>10</v>
      </c>
      <c r="B72">
        <v>245</v>
      </c>
      <c r="C72" t="s">
        <v>22</v>
      </c>
      <c r="D72" t="s">
        <v>7</v>
      </c>
      <c r="E72">
        <v>2</v>
      </c>
      <c r="F72" s="2">
        <v>180.70403489640131</v>
      </c>
      <c r="G72" s="2">
        <v>317.28821593153395</v>
      </c>
      <c r="H72" s="2">
        <v>323.94503816793889</v>
      </c>
      <c r="I72" s="2">
        <v>502.87188940092165</v>
      </c>
      <c r="J72" s="2">
        <v>504.6490730643402</v>
      </c>
      <c r="K72" s="2">
        <v>820.1601053324556</v>
      </c>
      <c r="L72" s="2">
        <v>136.58418103513264</v>
      </c>
      <c r="M72" s="2">
        <v>315.5110322681154</v>
      </c>
      <c r="N72" s="2">
        <v>1.0741000000000001</v>
      </c>
      <c r="O72" s="2">
        <v>12.234999999999999</v>
      </c>
      <c r="P72" s="2">
        <v>0.68979999999999997</v>
      </c>
      <c r="Q72" s="2">
        <v>6.2633999999999999</v>
      </c>
      <c r="R72" s="2">
        <v>4.5380619380619382</v>
      </c>
      <c r="S72" s="2">
        <v>13.105399999999999</v>
      </c>
      <c r="T72" s="2">
        <v>34.644800000000004</v>
      </c>
      <c r="U72" s="2">
        <v>31.181618381618385</v>
      </c>
      <c r="V72" s="2">
        <v>21.92448031968032</v>
      </c>
      <c r="W72" s="2">
        <v>27.113</v>
      </c>
      <c r="X72" s="2">
        <v>13.795199999999999</v>
      </c>
      <c r="Y72" s="2">
        <v>106.74</v>
      </c>
      <c r="Z72" s="2">
        <v>49.02</v>
      </c>
      <c r="AA72" s="2">
        <v>22.8</v>
      </c>
      <c r="AB72" s="2">
        <v>26.65</v>
      </c>
      <c r="AC72" s="2">
        <v>7.7</v>
      </c>
      <c r="AD72" s="2">
        <v>15.54</v>
      </c>
      <c r="AE72" s="2">
        <v>29.15</v>
      </c>
      <c r="AF72" s="2">
        <v>44.7</v>
      </c>
      <c r="AG72" s="2">
        <v>54</v>
      </c>
      <c r="AH72" s="2">
        <v>-9.4</v>
      </c>
      <c r="AI72" s="2">
        <v>51.16</v>
      </c>
      <c r="AJ72" s="2">
        <v>10.89</v>
      </c>
      <c r="AK72" s="2">
        <v>1.494</v>
      </c>
      <c r="AL72" s="2">
        <v>0.66500000000000004</v>
      </c>
      <c r="AM72" s="2">
        <v>0.622</v>
      </c>
      <c r="AN72" s="2">
        <v>0.44500000000000001</v>
      </c>
      <c r="AO72" s="2">
        <v>0.99299999999999999</v>
      </c>
      <c r="AP72" s="2">
        <v>0.317</v>
      </c>
      <c r="AQ72" s="2">
        <v>1.351</v>
      </c>
      <c r="AR72" s="2">
        <v>0.96799999999999997</v>
      </c>
      <c r="AS72" s="2">
        <v>12.27</v>
      </c>
      <c r="AT72" s="2">
        <v>162.9</v>
      </c>
      <c r="AU72" s="2">
        <v>1.6</v>
      </c>
      <c r="AV72" s="2">
        <v>0.08</v>
      </c>
      <c r="AW72" s="2">
        <v>0.11899999999999999</v>
      </c>
      <c r="AX72" s="2">
        <v>0.28799999999999998</v>
      </c>
      <c r="AY72" s="2">
        <v>0.59299999999999997</v>
      </c>
      <c r="AZ72" s="2">
        <v>0.66</v>
      </c>
      <c r="BA72" s="2">
        <v>1.1299999999999999</v>
      </c>
      <c r="BB72" s="2">
        <v>8.1</v>
      </c>
      <c r="BC72" s="2">
        <v>94</v>
      </c>
      <c r="BD72" s="2">
        <v>0.5</v>
      </c>
      <c r="BE72" s="2">
        <v>6.5</v>
      </c>
      <c r="BF72" s="2">
        <v>72</v>
      </c>
      <c r="BG72" s="2">
        <v>62</v>
      </c>
      <c r="BH72" s="2">
        <v>1145</v>
      </c>
      <c r="BI72" s="2">
        <v>209</v>
      </c>
      <c r="BJ72" s="2">
        <v>10</v>
      </c>
      <c r="BK72" s="2">
        <v>12.5</v>
      </c>
      <c r="BL72" s="2">
        <v>8.1</v>
      </c>
      <c r="BM72" s="2">
        <v>1.5</v>
      </c>
      <c r="BN72" s="2">
        <v>0</v>
      </c>
      <c r="BO72" s="2">
        <v>0.16</v>
      </c>
      <c r="BP72" s="2">
        <v>5.73</v>
      </c>
      <c r="BQ72" s="2">
        <v>1.72</v>
      </c>
    </row>
    <row r="73" spans="1:69" x14ac:dyDescent="0.2">
      <c r="A73">
        <v>20</v>
      </c>
      <c r="B73">
        <v>270</v>
      </c>
      <c r="C73" t="s">
        <v>22</v>
      </c>
      <c r="D73" t="s">
        <v>5</v>
      </c>
      <c r="E73">
        <v>2</v>
      </c>
      <c r="F73" s="2">
        <v>431.09719844357977</v>
      </c>
      <c r="G73" s="2">
        <v>457.78259773013878</v>
      </c>
      <c r="H73" s="2">
        <v>625.95665369649817</v>
      </c>
      <c r="I73" s="2">
        <v>887.1598486759143</v>
      </c>
      <c r="J73" s="2">
        <v>1057.0538521400779</v>
      </c>
      <c r="K73" s="2">
        <v>1344.942446406053</v>
      </c>
      <c r="L73" s="2">
        <v>26.685399286559004</v>
      </c>
      <c r="M73" s="2">
        <v>287.88859426597514</v>
      </c>
      <c r="N73" s="2">
        <v>2.859</v>
      </c>
      <c r="O73" s="2">
        <v>37.21</v>
      </c>
      <c r="P73" s="2">
        <v>0.39179999999999998</v>
      </c>
      <c r="Q73" s="2">
        <v>4.2946</v>
      </c>
      <c r="R73" s="2">
        <v>1.2170000000000001</v>
      </c>
      <c r="S73" s="2">
        <v>20.352399999999999</v>
      </c>
      <c r="T73" s="2">
        <v>95.220400000000012</v>
      </c>
      <c r="U73" s="2">
        <v>96.226800000000011</v>
      </c>
      <c r="V73" s="2">
        <v>76.699600000000004</v>
      </c>
      <c r="W73" s="2">
        <v>78.770800000000008</v>
      </c>
      <c r="X73" s="2">
        <v>20.744199999999999</v>
      </c>
      <c r="Y73" s="2">
        <v>93.44</v>
      </c>
      <c r="Z73" s="2">
        <v>17.57</v>
      </c>
      <c r="AA73" s="2">
        <v>36.96</v>
      </c>
      <c r="AB73" s="2">
        <v>31.22</v>
      </c>
      <c r="AC73" s="2">
        <v>7.03</v>
      </c>
      <c r="AD73" s="2">
        <v>18.5</v>
      </c>
      <c r="AE73" s="2">
        <v>40.22</v>
      </c>
      <c r="AF73" s="2">
        <v>58.7</v>
      </c>
      <c r="AG73" s="2">
        <v>47.3</v>
      </c>
      <c r="AH73" s="2">
        <v>11.4</v>
      </c>
      <c r="AI73" s="2">
        <v>29.39</v>
      </c>
      <c r="AJ73" s="2">
        <v>5.33</v>
      </c>
      <c r="AK73" s="2">
        <v>0.84099999999999997</v>
      </c>
      <c r="AL73" s="2">
        <v>0.88800000000000001</v>
      </c>
      <c r="AM73" s="2">
        <v>1.077</v>
      </c>
      <c r="AN73" s="2">
        <v>1.056</v>
      </c>
      <c r="AO73" s="2">
        <v>0.746</v>
      </c>
      <c r="AP73" s="2">
        <v>1.0529999999999999</v>
      </c>
      <c r="AQ73" s="2">
        <v>1.1830000000000001</v>
      </c>
      <c r="AR73" s="2">
        <v>2.5009999999999999</v>
      </c>
      <c r="AS73" s="2">
        <v>34.86</v>
      </c>
      <c r="AT73" s="2">
        <v>275.2</v>
      </c>
      <c r="AU73" s="2">
        <v>1.0569999999999999</v>
      </c>
      <c r="AV73" s="2">
        <v>0.45</v>
      </c>
      <c r="AW73" s="2">
        <v>4.9000000000000002E-2</v>
      </c>
      <c r="AX73" s="2">
        <v>0.16300000000000001</v>
      </c>
      <c r="AY73" s="2">
        <v>0.78800000000000003</v>
      </c>
      <c r="AZ73" s="2">
        <v>0.6</v>
      </c>
      <c r="BA73" s="2">
        <v>1.1299999999999999</v>
      </c>
      <c r="BB73" s="2">
        <v>9.3000000000000007</v>
      </c>
      <c r="BC73" s="2">
        <v>76</v>
      </c>
      <c r="BD73" s="2">
        <v>2.2999999999999998</v>
      </c>
      <c r="BE73" s="2">
        <v>5.2</v>
      </c>
      <c r="BF73" s="2">
        <v>40</v>
      </c>
      <c r="BG73" s="2">
        <v>89</v>
      </c>
      <c r="BH73" s="2">
        <v>1137</v>
      </c>
      <c r="BI73" s="2">
        <v>138</v>
      </c>
      <c r="BJ73" s="2">
        <v>19</v>
      </c>
      <c r="BK73" s="2">
        <v>4.8</v>
      </c>
      <c r="BL73" s="2">
        <v>5.2</v>
      </c>
      <c r="BM73" s="2">
        <v>0.4</v>
      </c>
      <c r="BN73" s="2">
        <v>0.1</v>
      </c>
      <c r="BO73" s="2">
        <v>0.23</v>
      </c>
      <c r="BP73" s="2">
        <v>5.69</v>
      </c>
      <c r="BQ73" s="2">
        <v>1.1299999999999999</v>
      </c>
    </row>
    <row r="74" spans="1:69" x14ac:dyDescent="0.2">
      <c r="A74">
        <v>10</v>
      </c>
      <c r="B74">
        <v>26</v>
      </c>
      <c r="C74" t="s">
        <v>20</v>
      </c>
      <c r="D74" t="s">
        <v>5</v>
      </c>
      <c r="E74">
        <v>1</v>
      </c>
      <c r="F74" s="2">
        <v>339.3735548172757</v>
      </c>
      <c r="G74" s="2">
        <v>272.96634113104687</v>
      </c>
      <c r="H74" s="2">
        <v>775.42325581395323</v>
      </c>
      <c r="I74" s="2">
        <v>816.83370429252773</v>
      </c>
      <c r="J74" s="2">
        <v>1114.7968106312289</v>
      </c>
      <c r="K74" s="2">
        <v>1089.8000454235746</v>
      </c>
      <c r="L74" s="2">
        <v>-66.407213686228829</v>
      </c>
      <c r="M74" s="2">
        <v>-24.996765207654335</v>
      </c>
      <c r="N74" s="2">
        <v>3.0773000000000001</v>
      </c>
      <c r="O74" s="2">
        <v>42.640999999999998</v>
      </c>
      <c r="P74" s="2">
        <v>0.70979999999999999</v>
      </c>
      <c r="Q74" s="2">
        <v>2.3658892128279878</v>
      </c>
      <c r="R74" s="2">
        <v>1.7898000000000001</v>
      </c>
      <c r="S74" s="2">
        <v>37.062800000000003</v>
      </c>
      <c r="T74" s="2">
        <v>121.13294460641399</v>
      </c>
      <c r="U74" s="2">
        <v>117.28640000000001</v>
      </c>
      <c r="V74" s="2">
        <v>81.303600000000017</v>
      </c>
      <c r="W74" s="2">
        <v>85.726233819241969</v>
      </c>
      <c r="X74" s="2">
        <v>37.772600000000004</v>
      </c>
      <c r="Y74" s="2">
        <v>90.33</v>
      </c>
      <c r="Z74" s="2">
        <v>16.53</v>
      </c>
      <c r="AA74" s="2">
        <v>17.84</v>
      </c>
      <c r="AB74" s="2">
        <v>49.33</v>
      </c>
      <c r="AC74" s="2">
        <v>6.24</v>
      </c>
      <c r="AD74" s="2">
        <v>16.66</v>
      </c>
      <c r="AE74" s="2">
        <v>18.96</v>
      </c>
      <c r="AF74" s="2">
        <v>35.6</v>
      </c>
      <c r="AG74" s="2">
        <v>45.7</v>
      </c>
      <c r="AH74" s="2">
        <v>-10.1</v>
      </c>
      <c r="AI74" s="2">
        <v>50.97</v>
      </c>
      <c r="AJ74" s="2">
        <v>3.74</v>
      </c>
      <c r="AK74" s="2">
        <v>0.73499999999999999</v>
      </c>
      <c r="AL74" s="2">
        <v>0.749</v>
      </c>
      <c r="AM74" s="2">
        <v>1.036</v>
      </c>
      <c r="AN74" s="2">
        <v>1.0189999999999999</v>
      </c>
      <c r="AO74" s="2">
        <v>0.55000000000000004</v>
      </c>
      <c r="AP74" s="2">
        <v>1.008</v>
      </c>
      <c r="AQ74" s="2">
        <v>1.143</v>
      </c>
      <c r="AR74" s="2">
        <v>2.1389999999999998</v>
      </c>
      <c r="AS74" s="2">
        <v>32.450000000000003</v>
      </c>
      <c r="AT74" s="2">
        <v>216.9</v>
      </c>
      <c r="AU74" s="2">
        <v>1.048</v>
      </c>
      <c r="AV74" s="2">
        <v>1.44</v>
      </c>
      <c r="AW74" s="2">
        <v>9.7000000000000003E-2</v>
      </c>
      <c r="AX74" s="2">
        <v>0.121</v>
      </c>
      <c r="AY74" s="2">
        <v>0.78200000000000003</v>
      </c>
      <c r="AZ74" s="2">
        <v>0.81</v>
      </c>
      <c r="BA74" s="2">
        <v>0.99</v>
      </c>
      <c r="BB74" s="2">
        <v>5.9</v>
      </c>
      <c r="BC74" s="2">
        <v>52</v>
      </c>
      <c r="BD74" s="2">
        <v>2.8</v>
      </c>
      <c r="BE74" s="2">
        <v>4.9000000000000004</v>
      </c>
      <c r="BF74" s="2">
        <v>127</v>
      </c>
      <c r="BG74" s="2">
        <v>75</v>
      </c>
      <c r="BH74" s="2">
        <v>455</v>
      </c>
      <c r="BI74" s="2">
        <v>68</v>
      </c>
      <c r="BJ74" s="2">
        <v>26</v>
      </c>
      <c r="BK74" s="2">
        <v>21.3</v>
      </c>
      <c r="BL74" s="2">
        <v>2.5</v>
      </c>
      <c r="BM74" s="2">
        <v>0.6</v>
      </c>
      <c r="BN74" s="2">
        <v>0</v>
      </c>
      <c r="BO74" s="2">
        <v>0.19</v>
      </c>
      <c r="BP74" s="2">
        <v>2.2799999999999998</v>
      </c>
      <c r="BQ74" s="2">
        <v>0.56000000000000005</v>
      </c>
    </row>
    <row r="75" spans="1:69" x14ac:dyDescent="0.2">
      <c r="A75">
        <v>20</v>
      </c>
      <c r="B75">
        <v>45</v>
      </c>
      <c r="C75" t="s">
        <v>20</v>
      </c>
      <c r="D75" t="s">
        <v>0</v>
      </c>
      <c r="E75">
        <v>1</v>
      </c>
      <c r="F75" s="2">
        <v>346.96926543488053</v>
      </c>
      <c r="G75" s="2">
        <v>373.67263017356464</v>
      </c>
      <c r="H75" s="2">
        <v>841.46876971608822</v>
      </c>
      <c r="I75" s="2">
        <v>804.00320427236306</v>
      </c>
      <c r="J75" s="2">
        <v>1188.4380351509687</v>
      </c>
      <c r="K75" s="2">
        <v>1177.6758344459276</v>
      </c>
      <c r="L75" s="2">
        <v>26.703364738684115</v>
      </c>
      <c r="M75" s="2">
        <v>-10.762200705041096</v>
      </c>
      <c r="N75" s="2">
        <v>2.4945999999999997</v>
      </c>
      <c r="O75" s="2">
        <v>28.782</v>
      </c>
      <c r="P75" s="2">
        <v>0.39579999999999999</v>
      </c>
      <c r="Q75" s="2">
        <v>6.5402000000000005</v>
      </c>
      <c r="R75" s="2">
        <v>5.5057999999999998</v>
      </c>
      <c r="S75" s="2">
        <v>41.926400000000001</v>
      </c>
      <c r="T75" s="2">
        <v>143.06739999999999</v>
      </c>
      <c r="U75" s="2">
        <v>137.893</v>
      </c>
      <c r="V75" s="2">
        <v>101.07659999999998</v>
      </c>
      <c r="W75" s="2">
        <v>107.28539999999998</v>
      </c>
      <c r="X75" s="2">
        <v>42.322200000000002</v>
      </c>
      <c r="Y75" s="2">
        <v>87.5</v>
      </c>
      <c r="Z75" s="2">
        <v>41.02</v>
      </c>
      <c r="AA75" s="2">
        <v>21.61</v>
      </c>
      <c r="AB75" s="2">
        <v>22.3</v>
      </c>
      <c r="AC75" s="2">
        <v>2.2599999999999998</v>
      </c>
      <c r="AD75" s="2">
        <v>34.299999999999997</v>
      </c>
      <c r="AE75" s="2">
        <v>23.44</v>
      </c>
      <c r="AF75" s="2">
        <v>57.7</v>
      </c>
      <c r="AG75" s="2">
        <v>44.3</v>
      </c>
      <c r="AH75" s="2">
        <v>13.4</v>
      </c>
      <c r="AI75" s="2">
        <v>25.79</v>
      </c>
      <c r="AJ75" s="2">
        <v>3.97</v>
      </c>
      <c r="AK75" s="2">
        <v>1.542</v>
      </c>
      <c r="AL75" s="2">
        <v>1.341</v>
      </c>
      <c r="AM75" s="2">
        <v>0.92200000000000004</v>
      </c>
      <c r="AN75" s="2">
        <v>0.87</v>
      </c>
      <c r="AO75" s="2">
        <v>2.0670000000000002</v>
      </c>
      <c r="AP75" s="2">
        <v>0.83599999999999997</v>
      </c>
      <c r="AQ75" s="2">
        <v>1.1080000000000001</v>
      </c>
      <c r="AR75" s="2">
        <v>2.0649999999999999</v>
      </c>
      <c r="AS75" s="2">
        <v>25.66</v>
      </c>
      <c r="AT75" s="2">
        <v>369.8</v>
      </c>
      <c r="AU75" s="2">
        <v>1.252</v>
      </c>
      <c r="AV75" s="2">
        <v>3.89</v>
      </c>
      <c r="AW75" s="2">
        <v>0.20499999999999999</v>
      </c>
      <c r="AX75" s="2">
        <v>0.185</v>
      </c>
      <c r="AY75" s="2">
        <v>0.61099999999999999</v>
      </c>
      <c r="AZ75" s="2">
        <v>0.56000000000000005</v>
      </c>
      <c r="BA75" s="2">
        <v>0.97</v>
      </c>
      <c r="BB75" s="2">
        <v>7.5</v>
      </c>
      <c r="BC75" s="2">
        <v>69</v>
      </c>
      <c r="BD75" s="2">
        <v>2.2999999999999998</v>
      </c>
      <c r="BE75" s="2">
        <v>4.9000000000000004</v>
      </c>
      <c r="BF75" s="2">
        <v>126</v>
      </c>
      <c r="BG75" s="2">
        <v>80</v>
      </c>
      <c r="BH75" s="2">
        <v>704</v>
      </c>
      <c r="BI75" s="2">
        <v>175</v>
      </c>
      <c r="BJ75" s="2">
        <v>22</v>
      </c>
      <c r="BK75" s="2">
        <v>17.8</v>
      </c>
      <c r="BL75" s="2">
        <v>3.1</v>
      </c>
      <c r="BM75" s="2">
        <v>1.2</v>
      </c>
      <c r="BN75" s="2">
        <v>0</v>
      </c>
      <c r="BO75" s="2">
        <v>0.2</v>
      </c>
      <c r="BP75" s="2">
        <v>3.52</v>
      </c>
      <c r="BQ75" s="2">
        <v>1.44</v>
      </c>
    </row>
    <row r="76" spans="1:69" x14ac:dyDescent="0.2">
      <c r="A76">
        <v>20</v>
      </c>
      <c r="B76">
        <v>74</v>
      </c>
      <c r="C76" t="s">
        <v>20</v>
      </c>
      <c r="D76" t="s">
        <v>5</v>
      </c>
      <c r="E76">
        <v>4</v>
      </c>
      <c r="F76" s="2">
        <v>111.70756972111556</v>
      </c>
      <c r="G76" s="2">
        <v>119.15300215982724</v>
      </c>
      <c r="H76" s="2">
        <v>516.27011952191242</v>
      </c>
      <c r="I76" s="2">
        <v>627.18997840172779</v>
      </c>
      <c r="J76" s="2">
        <v>627.97768924302795</v>
      </c>
      <c r="K76" s="2">
        <v>746.34298056155501</v>
      </c>
      <c r="L76" s="2">
        <v>7.445432438711677</v>
      </c>
      <c r="M76" s="2">
        <v>118.36529131852706</v>
      </c>
      <c r="N76" s="2">
        <v>1.9803000000000002</v>
      </c>
      <c r="O76" s="2">
        <v>40.654000000000003</v>
      </c>
      <c r="P76" s="2">
        <v>0.71219999999999994</v>
      </c>
      <c r="Q76" s="2">
        <v>4.3682000000000007</v>
      </c>
      <c r="R76" s="2">
        <v>4.2266000000000004</v>
      </c>
      <c r="S76" s="2">
        <v>22.855999999999998</v>
      </c>
      <c r="T76" s="2">
        <v>38.113</v>
      </c>
      <c r="U76" s="2">
        <v>35.254599999999996</v>
      </c>
      <c r="V76" s="2">
        <v>15.912999999999997</v>
      </c>
      <c r="W76" s="2">
        <v>18.913000000000004</v>
      </c>
      <c r="X76" s="2">
        <v>23.568199999999997</v>
      </c>
      <c r="Y76" s="2">
        <v>86.27</v>
      </c>
      <c r="Z76" s="2">
        <v>33.53</v>
      </c>
      <c r="AA76" s="2">
        <v>28.01</v>
      </c>
      <c r="AB76" s="2">
        <v>21.69</v>
      </c>
      <c r="AC76" s="2">
        <v>2.68</v>
      </c>
      <c r="AD76" s="2">
        <v>26.73</v>
      </c>
      <c r="AE76" s="2">
        <v>29.58</v>
      </c>
      <c r="AF76" s="2">
        <v>56.3</v>
      </c>
      <c r="AG76" s="2">
        <v>43.7</v>
      </c>
      <c r="AH76" s="2">
        <v>12.6</v>
      </c>
      <c r="AI76" s="2">
        <v>25.8</v>
      </c>
      <c r="AJ76" s="2">
        <v>4.16</v>
      </c>
      <c r="AK76" s="2">
        <v>1.359</v>
      </c>
      <c r="AL76" s="2">
        <v>1.1519999999999999</v>
      </c>
      <c r="AM76" s="2">
        <v>0.91500000000000004</v>
      </c>
      <c r="AN76" s="2">
        <v>0.84699999999999998</v>
      </c>
      <c r="AO76" s="2">
        <v>1.5660000000000001</v>
      </c>
      <c r="AP76" s="2">
        <v>0.79700000000000004</v>
      </c>
      <c r="AQ76" s="2">
        <v>1.0920000000000001</v>
      </c>
      <c r="AR76" s="2">
        <v>1.6559999999999999</v>
      </c>
      <c r="AS76" s="2">
        <v>34.200000000000003</v>
      </c>
      <c r="AT76" s="2">
        <v>157.69999999999999</v>
      </c>
      <c r="AU76" s="2">
        <v>1.0449999999999999</v>
      </c>
      <c r="AV76" s="2">
        <v>1.07</v>
      </c>
      <c r="AW76" s="2">
        <v>0.14399999999999999</v>
      </c>
      <c r="AX76" s="2">
        <v>0.16600000000000001</v>
      </c>
      <c r="AY76" s="2">
        <v>0.69</v>
      </c>
      <c r="AZ76" s="2">
        <v>0.6</v>
      </c>
      <c r="BA76" s="2">
        <v>0.95</v>
      </c>
      <c r="BB76" s="2">
        <v>7.7</v>
      </c>
      <c r="BC76" s="2">
        <v>45</v>
      </c>
      <c r="BD76" s="2">
        <v>4.2</v>
      </c>
      <c r="BE76" s="2">
        <v>4.2</v>
      </c>
      <c r="BF76" s="2">
        <v>27</v>
      </c>
      <c r="BG76" s="2">
        <v>86</v>
      </c>
      <c r="BH76" s="2">
        <v>474</v>
      </c>
      <c r="BI76" s="2">
        <v>105</v>
      </c>
      <c r="BJ76" s="2">
        <v>22</v>
      </c>
      <c r="BK76" s="2">
        <v>2.1</v>
      </c>
      <c r="BL76" s="2">
        <v>1.8</v>
      </c>
      <c r="BM76" s="2">
        <v>0.5</v>
      </c>
      <c r="BN76" s="2">
        <v>0.1</v>
      </c>
      <c r="BO76" s="2">
        <v>0.22</v>
      </c>
      <c r="BP76" s="2">
        <v>2.37</v>
      </c>
      <c r="BQ76" s="2">
        <v>0.86</v>
      </c>
    </row>
    <row r="77" spans="1:69" x14ac:dyDescent="0.2">
      <c r="A77">
        <v>10</v>
      </c>
      <c r="B77">
        <v>77</v>
      </c>
      <c r="C77" t="s">
        <v>20</v>
      </c>
      <c r="D77" t="s">
        <v>5</v>
      </c>
      <c r="E77">
        <v>3</v>
      </c>
      <c r="F77" s="2">
        <v>150.64698795180726</v>
      </c>
      <c r="G77" s="2">
        <v>143.56598493003213</v>
      </c>
      <c r="H77" s="2">
        <v>1024.8560240963857</v>
      </c>
      <c r="I77" s="2">
        <v>1097.9534983853609</v>
      </c>
      <c r="J77" s="2">
        <v>1175.5030120481929</v>
      </c>
      <c r="K77" s="2">
        <v>1241.519483315393</v>
      </c>
      <c r="L77" s="2">
        <v>-7.0810030217751319</v>
      </c>
      <c r="M77" s="2">
        <v>66.016471267200131</v>
      </c>
      <c r="N77" s="2">
        <v>5.6116000000000001</v>
      </c>
      <c r="O77" s="2">
        <v>118.94999999999999</v>
      </c>
      <c r="P77" s="2">
        <v>0.93079999999999996</v>
      </c>
      <c r="Q77" s="2">
        <v>2.5230508474576268</v>
      </c>
      <c r="R77" s="2">
        <v>1.764823008849558</v>
      </c>
      <c r="S77" s="2">
        <v>26.082799999999999</v>
      </c>
      <c r="T77" s="2">
        <v>85.185084745762708</v>
      </c>
      <c r="U77" s="2">
        <v>80.529646017699122</v>
      </c>
      <c r="V77" s="2">
        <v>55.280869026548686</v>
      </c>
      <c r="W77" s="2">
        <v>60.694535593220337</v>
      </c>
      <c r="X77" s="2">
        <v>27.0136</v>
      </c>
      <c r="Y77" s="2">
        <v>64.680000000000007</v>
      </c>
      <c r="Z77" s="2">
        <v>18.989999999999998</v>
      </c>
      <c r="AA77" s="2">
        <v>17.920000000000002</v>
      </c>
      <c r="AB77" s="2">
        <v>24.17</v>
      </c>
      <c r="AC77" s="2">
        <v>3.18</v>
      </c>
      <c r="AD77" s="2">
        <v>16.190000000000001</v>
      </c>
      <c r="AE77" s="2">
        <v>19.41</v>
      </c>
      <c r="AF77" s="2">
        <v>35.6</v>
      </c>
      <c r="AG77" s="2">
        <v>32.700000000000003</v>
      </c>
      <c r="AH77" s="2">
        <v>2.9</v>
      </c>
      <c r="AI77" s="2">
        <v>25.59</v>
      </c>
      <c r="AJ77" s="2">
        <v>3.49</v>
      </c>
      <c r="AK77" s="2">
        <v>1.0760000000000001</v>
      </c>
      <c r="AL77" s="2">
        <v>0.96899999999999997</v>
      </c>
      <c r="AM77" s="2">
        <v>0.96499999999999997</v>
      </c>
      <c r="AN77" s="2">
        <v>0.90100000000000002</v>
      </c>
      <c r="AO77" s="2">
        <v>1.042</v>
      </c>
      <c r="AP77" s="2">
        <v>0.85299999999999998</v>
      </c>
      <c r="AQ77" s="2">
        <v>0.81899999999999995</v>
      </c>
      <c r="AR77" s="2">
        <v>4.5289999999999999</v>
      </c>
      <c r="AS77" s="2">
        <v>100.06</v>
      </c>
      <c r="AT77" s="2">
        <v>305.89999999999998</v>
      </c>
      <c r="AU77" s="2">
        <v>0.70699999999999996</v>
      </c>
      <c r="AV77" s="2">
        <v>0.43</v>
      </c>
      <c r="AW77" s="2">
        <v>0.17100000000000001</v>
      </c>
      <c r="AX77" s="2">
        <v>0.28499999999999998</v>
      </c>
      <c r="AY77" s="2">
        <v>0.54400000000000004</v>
      </c>
      <c r="AZ77" s="2">
        <v>3.87</v>
      </c>
      <c r="BA77" s="2">
        <v>0.68</v>
      </c>
      <c r="BB77" s="2">
        <v>9</v>
      </c>
      <c r="BC77" s="2">
        <v>10</v>
      </c>
      <c r="BD77" s="2">
        <v>8.1</v>
      </c>
      <c r="BE77" s="2">
        <v>3.6</v>
      </c>
      <c r="BF77" s="2">
        <v>82</v>
      </c>
      <c r="BG77" s="2">
        <v>56</v>
      </c>
      <c r="BH77" s="2">
        <v>101</v>
      </c>
      <c r="BI77" s="2">
        <v>37</v>
      </c>
      <c r="BJ77" s="2">
        <v>41</v>
      </c>
      <c r="BK77" s="2">
        <v>1.4</v>
      </c>
      <c r="BL77" s="2">
        <v>2.1</v>
      </c>
      <c r="BM77" s="2">
        <v>0.5</v>
      </c>
      <c r="BN77" s="2">
        <v>0.1</v>
      </c>
      <c r="BO77" s="2">
        <v>0.14000000000000001</v>
      </c>
      <c r="BP77" s="2">
        <v>0.51</v>
      </c>
      <c r="BQ77" s="2">
        <v>0.3</v>
      </c>
    </row>
    <row r="78" spans="1:69" x14ac:dyDescent="0.2">
      <c r="A78">
        <v>10</v>
      </c>
      <c r="B78">
        <v>86</v>
      </c>
      <c r="C78" t="s">
        <v>20</v>
      </c>
      <c r="D78" t="s">
        <v>0</v>
      </c>
      <c r="E78">
        <v>4</v>
      </c>
      <c r="F78" s="2">
        <v>411.11417004048576</v>
      </c>
      <c r="G78" s="2">
        <v>670.15515342250183</v>
      </c>
      <c r="H78" s="2">
        <v>851.3744939271254</v>
      </c>
      <c r="I78" s="2">
        <v>1033.8514555468137</v>
      </c>
      <c r="J78" s="2">
        <v>1262.488663967611</v>
      </c>
      <c r="K78" s="2">
        <v>1704.0066089693155</v>
      </c>
      <c r="L78" s="2">
        <v>259.04098338201607</v>
      </c>
      <c r="M78" s="2">
        <v>441.51794500170445</v>
      </c>
      <c r="N78" s="2">
        <v>2.7261000000000002</v>
      </c>
      <c r="O78" s="2">
        <v>32.186999999999998</v>
      </c>
      <c r="P78" s="2">
        <v>0.33479999999999999</v>
      </c>
      <c r="Q78" s="2">
        <v>5.8176328502415462</v>
      </c>
      <c r="R78" s="2">
        <v>4.9998000000000005</v>
      </c>
      <c r="S78" s="2">
        <v>35.211599999999997</v>
      </c>
      <c r="T78" s="2">
        <v>153.38961352657003</v>
      </c>
      <c r="U78" s="2">
        <v>130.41799999999998</v>
      </c>
      <c r="V78" s="2">
        <v>99.871399999999966</v>
      </c>
      <c r="W78" s="2">
        <v>123.66084637681158</v>
      </c>
      <c r="X78" s="2">
        <v>35.546399999999998</v>
      </c>
      <c r="Y78" s="2">
        <v>93.27</v>
      </c>
      <c r="Z78" s="2">
        <v>22.48</v>
      </c>
      <c r="AA78" s="2">
        <v>26.07</v>
      </c>
      <c r="AB78" s="2">
        <v>38.619999999999997</v>
      </c>
      <c r="AC78" s="2">
        <v>5.66</v>
      </c>
      <c r="AD78" s="2">
        <v>20.37</v>
      </c>
      <c r="AE78" s="2">
        <v>30.48</v>
      </c>
      <c r="AF78" s="2">
        <v>50.9</v>
      </c>
      <c r="AG78" s="2">
        <v>47.2</v>
      </c>
      <c r="AH78" s="2">
        <v>3.6</v>
      </c>
      <c r="AI78" s="2">
        <v>38.020000000000003</v>
      </c>
      <c r="AJ78" s="2">
        <v>4.4000000000000004</v>
      </c>
      <c r="AK78" s="2">
        <v>0.93200000000000005</v>
      </c>
      <c r="AL78" s="2">
        <v>0.89600000000000002</v>
      </c>
      <c r="AM78" s="2">
        <v>1.0469999999999999</v>
      </c>
      <c r="AN78" s="2">
        <v>0.96099999999999997</v>
      </c>
      <c r="AO78" s="2">
        <v>0.83499999999999996</v>
      </c>
      <c r="AP78" s="2">
        <v>0.90600000000000003</v>
      </c>
      <c r="AQ78" s="2">
        <v>1.181</v>
      </c>
      <c r="AR78" s="2">
        <v>2.1680000000000001</v>
      </c>
      <c r="AS78" s="2">
        <v>26.3</v>
      </c>
      <c r="AT78" s="2">
        <v>293.2</v>
      </c>
      <c r="AU78" s="2">
        <v>1.2709999999999999</v>
      </c>
      <c r="AV78" s="2">
        <v>3.09</v>
      </c>
      <c r="AW78" s="2">
        <v>7.4999999999999997E-2</v>
      </c>
      <c r="AX78" s="2">
        <v>0.16400000000000001</v>
      </c>
      <c r="AY78" s="2">
        <v>0.76100000000000001</v>
      </c>
      <c r="AZ78" s="2">
        <v>0.71</v>
      </c>
      <c r="BA78" s="2">
        <v>1.1100000000000001</v>
      </c>
      <c r="BB78" s="2">
        <v>5.8</v>
      </c>
      <c r="BC78" s="2">
        <v>60</v>
      </c>
      <c r="BD78" s="2">
        <v>2.2999999999999998</v>
      </c>
      <c r="BE78" s="2">
        <v>5.0999999999999996</v>
      </c>
      <c r="BF78" s="2">
        <v>145</v>
      </c>
      <c r="BG78" s="2">
        <v>126</v>
      </c>
      <c r="BH78" s="2">
        <v>494</v>
      </c>
      <c r="BI78" s="2">
        <v>87</v>
      </c>
      <c r="BJ78" s="2">
        <v>19</v>
      </c>
      <c r="BK78" s="2">
        <v>9.6999999999999993</v>
      </c>
      <c r="BL78" s="2">
        <v>31.8</v>
      </c>
      <c r="BM78" s="2">
        <v>2.2000000000000002</v>
      </c>
      <c r="BN78" s="2">
        <v>0</v>
      </c>
      <c r="BO78" s="2">
        <v>0.32</v>
      </c>
      <c r="BP78" s="2">
        <v>2.4700000000000002</v>
      </c>
      <c r="BQ78" s="2">
        <v>0.72</v>
      </c>
    </row>
    <row r="79" spans="1:69" x14ac:dyDescent="0.2">
      <c r="A79">
        <v>10</v>
      </c>
      <c r="B79">
        <v>103</v>
      </c>
      <c r="C79" t="s">
        <v>20</v>
      </c>
      <c r="D79" t="s">
        <v>5</v>
      </c>
      <c r="E79">
        <v>2</v>
      </c>
      <c r="F79" s="2">
        <v>470.13188720173525</v>
      </c>
      <c r="G79" s="2">
        <v>276.38072646404714</v>
      </c>
      <c r="H79" s="2">
        <v>780.81344902386138</v>
      </c>
      <c r="I79" s="2">
        <v>2223.404299481097</v>
      </c>
      <c r="J79" s="2">
        <v>1250.9453362255967</v>
      </c>
      <c r="K79" s="2">
        <v>2499.7850259451443</v>
      </c>
      <c r="L79" s="2">
        <v>-193.75116073768811</v>
      </c>
      <c r="M79" s="2">
        <v>1248.8396897195476</v>
      </c>
      <c r="N79" s="2">
        <v>1.4810999999999999</v>
      </c>
      <c r="O79" s="2">
        <v>33.295000000000002</v>
      </c>
      <c r="P79" s="2">
        <v>0.56759999999999999</v>
      </c>
      <c r="Q79" s="2">
        <v>2.233207547169811</v>
      </c>
      <c r="R79" s="2">
        <v>1.7256743256743261</v>
      </c>
      <c r="S79" s="2">
        <v>21.605799999999999</v>
      </c>
      <c r="T79" s="2">
        <v>107.56930817610062</v>
      </c>
      <c r="U79" s="2">
        <v>62.346853146853142</v>
      </c>
      <c r="V79" s="2">
        <v>41.899127472527468</v>
      </c>
      <c r="W79" s="2">
        <v>87.629115723270431</v>
      </c>
      <c r="X79" s="2">
        <v>22.173399999999997</v>
      </c>
      <c r="Y79" s="2">
        <v>98.33</v>
      </c>
      <c r="Z79" s="2">
        <v>17.13</v>
      </c>
      <c r="AA79" s="2">
        <v>28.12</v>
      </c>
      <c r="AB79" s="2">
        <v>45.85</v>
      </c>
      <c r="AC79" s="2">
        <v>6.74</v>
      </c>
      <c r="AD79" s="2">
        <v>17.29</v>
      </c>
      <c r="AE79" s="2">
        <v>33.31</v>
      </c>
      <c r="AF79" s="2">
        <v>50.6</v>
      </c>
      <c r="AG79" s="2">
        <v>49.8</v>
      </c>
      <c r="AH79" s="2">
        <v>0.8</v>
      </c>
      <c r="AI79" s="2">
        <v>42.16</v>
      </c>
      <c r="AJ79" s="2">
        <v>5.57</v>
      </c>
      <c r="AK79" s="2">
        <v>0.752</v>
      </c>
      <c r="AL79" s="2">
        <v>0.78400000000000003</v>
      </c>
      <c r="AM79" s="2">
        <v>1.1180000000000001</v>
      </c>
      <c r="AN79" s="2">
        <v>1.042</v>
      </c>
      <c r="AO79" s="2">
        <v>0.59</v>
      </c>
      <c r="AP79" s="2">
        <v>1.0089999999999999</v>
      </c>
      <c r="AQ79" s="2">
        <v>1.2450000000000001</v>
      </c>
      <c r="AR79" s="2">
        <v>1.2410000000000001</v>
      </c>
      <c r="AS79" s="2">
        <v>26.37</v>
      </c>
      <c r="AT79" s="2">
        <v>237.2</v>
      </c>
      <c r="AU79" s="2">
        <v>1.254</v>
      </c>
      <c r="AV79" s="2">
        <v>0.72</v>
      </c>
      <c r="AW79" s="2">
        <v>0.08</v>
      </c>
      <c r="AX79" s="2">
        <v>0.13</v>
      </c>
      <c r="AY79" s="2">
        <v>0.79100000000000004</v>
      </c>
      <c r="AZ79" s="2">
        <v>0.71</v>
      </c>
      <c r="BA79" s="2">
        <v>1.0900000000000001</v>
      </c>
      <c r="BB79" s="2">
        <v>5.7</v>
      </c>
      <c r="BC79" s="2">
        <v>68</v>
      </c>
      <c r="BD79" s="2">
        <v>1.8</v>
      </c>
      <c r="BE79" s="2">
        <v>5.4</v>
      </c>
      <c r="BF79" s="2">
        <v>43</v>
      </c>
      <c r="BG79" s="2">
        <v>54</v>
      </c>
      <c r="BH79" s="2">
        <v>607</v>
      </c>
      <c r="BI79" s="2">
        <v>80</v>
      </c>
      <c r="BJ79" s="2">
        <v>15</v>
      </c>
      <c r="BK79" s="2">
        <v>14.8</v>
      </c>
      <c r="BL79" s="2">
        <v>1.4</v>
      </c>
      <c r="BM79" s="2">
        <v>0.5</v>
      </c>
      <c r="BN79" s="2">
        <v>0</v>
      </c>
      <c r="BO79" s="2">
        <v>0.14000000000000001</v>
      </c>
      <c r="BP79" s="2">
        <v>3.04</v>
      </c>
      <c r="BQ79" s="2">
        <v>0.66</v>
      </c>
    </row>
    <row r="80" spans="1:69" x14ac:dyDescent="0.2">
      <c r="A80">
        <v>20</v>
      </c>
      <c r="B80">
        <v>208</v>
      </c>
      <c r="C80" t="s">
        <v>20</v>
      </c>
      <c r="D80" t="s">
        <v>7</v>
      </c>
      <c r="E80">
        <v>3</v>
      </c>
      <c r="F80" s="2">
        <v>168.67973421926911</v>
      </c>
      <c r="G80" s="2">
        <v>199.72216884008233</v>
      </c>
      <c r="H80" s="2">
        <v>655.83687707641195</v>
      </c>
      <c r="I80" s="2">
        <v>392.16280027453666</v>
      </c>
      <c r="J80" s="2">
        <v>824.51661129568106</v>
      </c>
      <c r="K80" s="2">
        <v>591.88496911461903</v>
      </c>
      <c r="L80" s="2">
        <v>31.042434620813225</v>
      </c>
      <c r="M80" s="2">
        <v>-232.63164218106203</v>
      </c>
      <c r="N80" s="2">
        <v>1.0505</v>
      </c>
      <c r="O80" s="2">
        <v>14.465</v>
      </c>
      <c r="P80" s="2">
        <v>0.37159999999999999</v>
      </c>
      <c r="Q80" s="2">
        <v>9.0145999999999997</v>
      </c>
      <c r="R80" s="2">
        <v>13.005799999999999</v>
      </c>
      <c r="S80" s="2">
        <v>14.6472</v>
      </c>
      <c r="T80" s="2">
        <v>36.876999999999995</v>
      </c>
      <c r="U80" s="2">
        <v>34.532200000000003</v>
      </c>
      <c r="V80" s="2">
        <v>32.519200000000005</v>
      </c>
      <c r="W80" s="2">
        <v>30.872799999999998</v>
      </c>
      <c r="X80" s="2">
        <v>15.018800000000001</v>
      </c>
      <c r="Y80" s="2">
        <v>108.61</v>
      </c>
      <c r="Z80" s="2">
        <v>24.12</v>
      </c>
      <c r="AA80" s="2">
        <v>35.869999999999997</v>
      </c>
      <c r="AB80" s="2">
        <v>40.56</v>
      </c>
      <c r="AC80" s="2">
        <v>7.5</v>
      </c>
      <c r="AD80" s="2">
        <v>13.77</v>
      </c>
      <c r="AE80" s="2">
        <v>55.63</v>
      </c>
      <c r="AF80" s="2">
        <v>69.400000000000006</v>
      </c>
      <c r="AG80" s="2">
        <v>55</v>
      </c>
      <c r="AH80" s="2">
        <v>14.4</v>
      </c>
      <c r="AI80" s="2">
        <v>31.87</v>
      </c>
      <c r="AJ80" s="2">
        <v>7.34</v>
      </c>
      <c r="AK80" s="2">
        <v>0.90400000000000003</v>
      </c>
      <c r="AL80" s="2">
        <v>0.73099999999999998</v>
      </c>
      <c r="AM80" s="2">
        <v>1.157</v>
      </c>
      <c r="AN80" s="2">
        <v>0.80900000000000005</v>
      </c>
      <c r="AO80" s="2">
        <v>0.66100000000000003</v>
      </c>
      <c r="AP80" s="2">
        <v>0.57099999999999995</v>
      </c>
      <c r="AQ80" s="2">
        <v>1.375</v>
      </c>
      <c r="AR80" s="2">
        <v>1.224</v>
      </c>
      <c r="AS80" s="2">
        <v>17.53</v>
      </c>
      <c r="AT80" s="2">
        <v>172.1</v>
      </c>
      <c r="AU80" s="2">
        <v>1.3959999999999999</v>
      </c>
      <c r="AV80" s="2">
        <v>0.41</v>
      </c>
      <c r="AW80" s="2">
        <v>6.4000000000000001E-2</v>
      </c>
      <c r="AX80" s="2">
        <v>0.19600000000000001</v>
      </c>
      <c r="AY80" s="2">
        <v>0.74</v>
      </c>
      <c r="AZ80" s="2">
        <v>1.67</v>
      </c>
      <c r="BA80" s="2">
        <v>1.27</v>
      </c>
      <c r="BB80" s="2">
        <v>6.5</v>
      </c>
      <c r="BC80" s="2">
        <v>75</v>
      </c>
      <c r="BD80" s="2">
        <v>1.6</v>
      </c>
      <c r="BE80" s="2">
        <v>5.8</v>
      </c>
      <c r="BF80" s="2">
        <v>357</v>
      </c>
      <c r="BG80" s="2">
        <v>145</v>
      </c>
      <c r="BH80" s="2">
        <v>769</v>
      </c>
      <c r="BI80" s="2">
        <v>83</v>
      </c>
      <c r="BJ80" s="2">
        <v>24</v>
      </c>
      <c r="BK80" s="2">
        <v>25.8</v>
      </c>
      <c r="BL80" s="2">
        <v>2.2000000000000002</v>
      </c>
      <c r="BM80" s="2">
        <v>1</v>
      </c>
      <c r="BN80" s="2">
        <v>0</v>
      </c>
      <c r="BO80" s="2">
        <v>0.37</v>
      </c>
      <c r="BP80" s="2">
        <v>3.85</v>
      </c>
      <c r="BQ80" s="2">
        <v>0.68</v>
      </c>
    </row>
    <row r="81" spans="1:69" x14ac:dyDescent="0.2">
      <c r="A81">
        <v>10</v>
      </c>
      <c r="B81">
        <v>222</v>
      </c>
      <c r="C81" t="s">
        <v>20</v>
      </c>
      <c r="D81" t="s">
        <v>0</v>
      </c>
      <c r="E81">
        <v>2</v>
      </c>
      <c r="F81" s="2">
        <v>449.52914521112234</v>
      </c>
      <c r="G81" s="2">
        <v>381.33752680486054</v>
      </c>
      <c r="H81" s="2">
        <v>853.7932028836251</v>
      </c>
      <c r="I81" s="2">
        <v>830.92580414581857</v>
      </c>
      <c r="J81" s="2">
        <v>1303.3223480947474</v>
      </c>
      <c r="K81" s="2">
        <v>1212.2633309506791</v>
      </c>
      <c r="L81" s="2">
        <v>-68.191618406261796</v>
      </c>
      <c r="M81" s="2">
        <v>-91.059017144068321</v>
      </c>
      <c r="N81" s="2">
        <v>2.1265000000000001</v>
      </c>
      <c r="O81" s="2">
        <v>26.099999999999998</v>
      </c>
      <c r="P81" s="2">
        <v>0.38400000000000001</v>
      </c>
      <c r="Q81" s="2">
        <v>6.5701674277016746</v>
      </c>
      <c r="R81" s="2">
        <v>1.9718562874251497</v>
      </c>
      <c r="S81" s="2">
        <v>29.555</v>
      </c>
      <c r="T81" s="2">
        <v>138.77960426179601</v>
      </c>
      <c r="U81" s="2">
        <v>137.52894211576847</v>
      </c>
      <c r="V81" s="2">
        <v>109.56179840319362</v>
      </c>
      <c r="W81" s="2">
        <v>115.41077168949769</v>
      </c>
      <c r="X81" s="2">
        <v>29.939</v>
      </c>
      <c r="Y81" s="2">
        <v>95.93</v>
      </c>
      <c r="Z81" s="2">
        <v>33.01</v>
      </c>
      <c r="AA81" s="2">
        <v>19.38</v>
      </c>
      <c r="AB81" s="2">
        <v>40.64</v>
      </c>
      <c r="AC81" s="2">
        <v>2.6</v>
      </c>
      <c r="AD81" s="2">
        <v>27.83</v>
      </c>
      <c r="AE81" s="2">
        <v>23.92</v>
      </c>
      <c r="AF81" s="2">
        <v>51.8</v>
      </c>
      <c r="AG81" s="2">
        <v>48.6</v>
      </c>
      <c r="AH81" s="2">
        <v>3.2</v>
      </c>
      <c r="AI81" s="2">
        <v>41.63</v>
      </c>
      <c r="AJ81" s="2">
        <v>2.5499999999999998</v>
      </c>
      <c r="AK81" s="2">
        <v>1.181</v>
      </c>
      <c r="AL81" s="2">
        <v>1.0569999999999999</v>
      </c>
      <c r="AM81" s="2">
        <v>0.98799999999999999</v>
      </c>
      <c r="AN81" s="2">
        <v>0.89500000000000002</v>
      </c>
      <c r="AO81" s="2">
        <v>1.248</v>
      </c>
      <c r="AP81" s="2">
        <v>0.84299999999999997</v>
      </c>
      <c r="AQ81" s="2">
        <v>1.214</v>
      </c>
      <c r="AR81" s="2">
        <v>1.708</v>
      </c>
      <c r="AS81" s="2">
        <v>21.75</v>
      </c>
      <c r="AT81" s="2">
        <v>351.4</v>
      </c>
      <c r="AU81" s="2">
        <v>1.37</v>
      </c>
      <c r="AV81" s="2">
        <v>0.31</v>
      </c>
      <c r="AW81" s="2">
        <v>9.7000000000000003E-2</v>
      </c>
      <c r="AX81" s="2">
        <v>0.13100000000000001</v>
      </c>
      <c r="AY81" s="2">
        <v>0.77200000000000002</v>
      </c>
      <c r="AZ81" s="2">
        <v>0.56000000000000005</v>
      </c>
      <c r="BA81" s="2">
        <v>1.07</v>
      </c>
      <c r="BB81" s="2">
        <v>6.3</v>
      </c>
      <c r="BC81" s="2">
        <v>70</v>
      </c>
      <c r="BD81" s="2">
        <v>1.9</v>
      </c>
      <c r="BE81" s="2">
        <v>5.2</v>
      </c>
      <c r="BF81" s="2">
        <v>38</v>
      </c>
      <c r="BG81" s="2">
        <v>52</v>
      </c>
      <c r="BH81" s="2">
        <v>610</v>
      </c>
      <c r="BI81" s="2">
        <v>146</v>
      </c>
      <c r="BJ81" s="2">
        <v>22</v>
      </c>
      <c r="BK81" s="2">
        <v>25.3</v>
      </c>
      <c r="BL81" s="2">
        <v>2.1</v>
      </c>
      <c r="BM81" s="2">
        <v>0.9</v>
      </c>
      <c r="BN81" s="2">
        <v>0</v>
      </c>
      <c r="BO81" s="2">
        <v>0.13</v>
      </c>
      <c r="BP81" s="2">
        <v>3.05</v>
      </c>
      <c r="BQ81" s="2">
        <v>1.2</v>
      </c>
    </row>
    <row r="82" spans="1:69" x14ac:dyDescent="0.2">
      <c r="A82">
        <v>20</v>
      </c>
      <c r="B82">
        <v>230</v>
      </c>
      <c r="C82" t="s">
        <v>20</v>
      </c>
      <c r="D82" t="s">
        <v>0</v>
      </c>
      <c r="E82">
        <v>3</v>
      </c>
      <c r="F82" s="2">
        <v>550.06332046332045</v>
      </c>
      <c r="G82" s="2">
        <v>554.97439170323094</v>
      </c>
      <c r="H82" s="2">
        <v>774.10126861555443</v>
      </c>
      <c r="I82" s="2">
        <v>790.74782608695648</v>
      </c>
      <c r="J82" s="2">
        <v>1324.164589078875</v>
      </c>
      <c r="K82" s="2">
        <v>1345.7222177901874</v>
      </c>
      <c r="L82" s="2">
        <v>4.9110712399104841</v>
      </c>
      <c r="M82" s="2">
        <v>21.557628711312418</v>
      </c>
      <c r="N82" s="2">
        <v>3.0814000000000004</v>
      </c>
      <c r="O82" s="2">
        <v>37.364000000000004</v>
      </c>
      <c r="P82" s="2">
        <v>0.3548</v>
      </c>
      <c r="Q82" s="2">
        <v>23.817800000000005</v>
      </c>
      <c r="R82" s="2">
        <v>15.261799999999999</v>
      </c>
      <c r="S82" s="2">
        <v>45.848399999999998</v>
      </c>
      <c r="T82" s="2">
        <v>161.81739999999999</v>
      </c>
      <c r="U82" s="2">
        <v>142.67499999999998</v>
      </c>
      <c r="V82" s="2">
        <v>111.73359999999998</v>
      </c>
      <c r="W82" s="2">
        <v>139.43200000000002</v>
      </c>
      <c r="X82" s="2">
        <v>46.203199999999995</v>
      </c>
      <c r="Y82" s="2">
        <v>88.57</v>
      </c>
      <c r="Z82" s="2">
        <v>35.17</v>
      </c>
      <c r="AA82" s="2">
        <v>32.14</v>
      </c>
      <c r="AB82" s="2">
        <v>19.03</v>
      </c>
      <c r="AC82" s="2">
        <v>1.82</v>
      </c>
      <c r="AD82" s="2">
        <v>22.26</v>
      </c>
      <c r="AE82" s="2">
        <v>40.14</v>
      </c>
      <c r="AF82" s="2">
        <v>62.4</v>
      </c>
      <c r="AG82" s="2">
        <v>44.8</v>
      </c>
      <c r="AH82" s="2">
        <v>17.600000000000001</v>
      </c>
      <c r="AI82" s="2">
        <v>23.12</v>
      </c>
      <c r="AJ82" s="2">
        <v>3.05</v>
      </c>
      <c r="AK82" s="2">
        <v>1.4019999999999999</v>
      </c>
      <c r="AL82" s="2">
        <v>1.0469999999999999</v>
      </c>
      <c r="AM82" s="2">
        <v>0.92700000000000005</v>
      </c>
      <c r="AN82" s="2">
        <v>0.747</v>
      </c>
      <c r="AO82" s="2">
        <v>1.4670000000000001</v>
      </c>
      <c r="AP82" s="2">
        <v>0.63300000000000001</v>
      </c>
      <c r="AQ82" s="2">
        <v>1.121</v>
      </c>
      <c r="AR82" s="2">
        <v>3.169</v>
      </c>
      <c r="AS82" s="2">
        <v>41.77</v>
      </c>
      <c r="AT82" s="2">
        <v>422.8</v>
      </c>
      <c r="AU82" s="2">
        <v>1.141</v>
      </c>
      <c r="AV82" s="2">
        <v>0.43</v>
      </c>
      <c r="AW82" s="2">
        <v>0.13200000000000001</v>
      </c>
      <c r="AX82" s="2">
        <v>0.214</v>
      </c>
      <c r="AY82" s="2">
        <v>0.65400000000000003</v>
      </c>
      <c r="AZ82" s="2">
        <v>2.44</v>
      </c>
      <c r="BA82" s="2">
        <v>0.91</v>
      </c>
      <c r="BB82" s="2">
        <v>13.4</v>
      </c>
      <c r="BC82" s="2">
        <v>87</v>
      </c>
      <c r="BD82" s="2">
        <v>1.8</v>
      </c>
      <c r="BE82" s="2">
        <v>5.8</v>
      </c>
      <c r="BF82" s="2">
        <v>176</v>
      </c>
      <c r="BG82" s="2">
        <v>220</v>
      </c>
      <c r="BH82" s="2">
        <v>1982</v>
      </c>
      <c r="BI82" s="2">
        <v>134</v>
      </c>
      <c r="BJ82" s="2">
        <v>20</v>
      </c>
      <c r="BK82" s="2">
        <v>4.8</v>
      </c>
      <c r="BL82" s="2">
        <v>8.3000000000000007</v>
      </c>
      <c r="BM82" s="2">
        <v>0.6</v>
      </c>
      <c r="BN82" s="2">
        <v>0</v>
      </c>
      <c r="BO82" s="2">
        <v>0.56000000000000005</v>
      </c>
      <c r="BP82" s="2">
        <v>9.91</v>
      </c>
      <c r="BQ82" s="2">
        <v>1.1000000000000001</v>
      </c>
    </row>
    <row r="83" spans="1:69" x14ac:dyDescent="0.2">
      <c r="A83">
        <v>20</v>
      </c>
      <c r="B83">
        <v>237</v>
      </c>
      <c r="C83" t="s">
        <v>20</v>
      </c>
      <c r="D83" t="s">
        <v>7</v>
      </c>
      <c r="E83">
        <v>4</v>
      </c>
      <c r="F83" s="2">
        <v>92.75678126180587</v>
      </c>
      <c r="G83" s="2">
        <v>124.32656249999998</v>
      </c>
      <c r="H83" s="2">
        <v>174.06210804684545</v>
      </c>
      <c r="I83" s="2">
        <v>203.26406249999997</v>
      </c>
      <c r="J83" s="2">
        <v>266.81888930865131</v>
      </c>
      <c r="K83" s="2">
        <v>327.59062499999993</v>
      </c>
      <c r="L83" s="2">
        <v>31.569781238194111</v>
      </c>
      <c r="M83" s="2">
        <v>60.771735691348624</v>
      </c>
      <c r="N83" s="2">
        <v>0.56300000000000006</v>
      </c>
      <c r="O83" s="2">
        <v>8.3672000000000004</v>
      </c>
      <c r="P83" s="2">
        <v>0.29903181189488243</v>
      </c>
      <c r="Q83" s="2">
        <v>8.2370000000000001</v>
      </c>
      <c r="R83" s="2">
        <v>15.797000000000002</v>
      </c>
      <c r="S83" s="2">
        <v>11.138035961272475</v>
      </c>
      <c r="T83" s="2">
        <v>24.677799999999998</v>
      </c>
      <c r="U83" s="2">
        <v>17.888199999999998</v>
      </c>
      <c r="V83" s="2">
        <v>22.248132226832645</v>
      </c>
      <c r="W83" s="2">
        <v>21.477732226832643</v>
      </c>
      <c r="X83" s="2">
        <v>11.437067773167358</v>
      </c>
      <c r="Y83" s="2">
        <v>111.19</v>
      </c>
      <c r="Z83" s="2">
        <v>39.090000000000003</v>
      </c>
      <c r="AA83" s="2">
        <v>36.14</v>
      </c>
      <c r="AB83" s="2">
        <v>29.33</v>
      </c>
      <c r="AC83" s="2">
        <v>6.15</v>
      </c>
      <c r="AD83" s="2">
        <v>17.89</v>
      </c>
      <c r="AE83" s="2">
        <v>48.1</v>
      </c>
      <c r="AF83" s="2">
        <v>66</v>
      </c>
      <c r="AG83" s="2">
        <v>56.3</v>
      </c>
      <c r="AH83" s="2">
        <v>9.6999999999999993</v>
      </c>
      <c r="AI83" s="2">
        <v>37.869999999999997</v>
      </c>
      <c r="AJ83" s="2">
        <v>7.33</v>
      </c>
      <c r="AK83" s="2">
        <v>1.256</v>
      </c>
      <c r="AL83" s="2">
        <v>0.78700000000000003</v>
      </c>
      <c r="AM83" s="2">
        <v>0.877</v>
      </c>
      <c r="AN83" s="2">
        <v>0.627</v>
      </c>
      <c r="AO83" s="2">
        <v>0.98799999999999999</v>
      </c>
      <c r="AP83" s="2">
        <v>0.45800000000000002</v>
      </c>
      <c r="AQ83" s="2">
        <v>1.407</v>
      </c>
      <c r="AR83" s="2">
        <v>0.61799999999999999</v>
      </c>
      <c r="AS83" s="2">
        <v>8.66</v>
      </c>
      <c r="AT83" s="2">
        <v>100.6</v>
      </c>
      <c r="AU83" s="2">
        <v>1.4450000000000001</v>
      </c>
      <c r="AV83" s="2">
        <v>0.09</v>
      </c>
      <c r="AW83" s="2">
        <v>6.3E-2</v>
      </c>
      <c r="AX83" s="2">
        <v>0.192</v>
      </c>
      <c r="AY83" s="2">
        <v>0.745</v>
      </c>
      <c r="AZ83" s="2">
        <v>0.46</v>
      </c>
      <c r="BA83" s="2">
        <v>1.31</v>
      </c>
      <c r="BB83" s="2">
        <v>3.9</v>
      </c>
      <c r="BC83" s="2">
        <v>81</v>
      </c>
      <c r="BD83" s="2">
        <v>0.8</v>
      </c>
      <c r="BE83" s="2">
        <v>6</v>
      </c>
      <c r="BF83" s="2">
        <v>95</v>
      </c>
      <c r="BG83" s="2">
        <v>95</v>
      </c>
      <c r="BH83" s="2">
        <v>453</v>
      </c>
      <c r="BI83" s="2">
        <v>79</v>
      </c>
      <c r="BJ83" s="2">
        <v>11</v>
      </c>
      <c r="BK83" s="2">
        <v>21</v>
      </c>
      <c r="BL83" s="2">
        <v>3.4</v>
      </c>
      <c r="BM83" s="2">
        <v>0.9</v>
      </c>
      <c r="BN83" s="2">
        <v>0</v>
      </c>
      <c r="BO83" s="2">
        <v>0.24</v>
      </c>
      <c r="BP83" s="2">
        <v>2.27</v>
      </c>
      <c r="BQ83" s="2">
        <v>0.65</v>
      </c>
    </row>
    <row r="84" spans="1:69" x14ac:dyDescent="0.2">
      <c r="A84">
        <v>10</v>
      </c>
      <c r="B84">
        <v>268</v>
      </c>
      <c r="C84" t="s">
        <v>20</v>
      </c>
      <c r="D84" t="s">
        <v>7</v>
      </c>
      <c r="E84">
        <v>1</v>
      </c>
      <c r="F84" s="2">
        <v>96.761433224755393</v>
      </c>
      <c r="G84" s="2">
        <v>253.28828337874609</v>
      </c>
      <c r="H84" s="2">
        <v>366.31114006514633</v>
      </c>
      <c r="I84" s="2">
        <v>469.40926430517663</v>
      </c>
      <c r="J84" s="2">
        <v>463.0725732899017</v>
      </c>
      <c r="K84" s="2">
        <v>722.69754768392272</v>
      </c>
      <c r="L84" s="2">
        <v>156.52685015399069</v>
      </c>
      <c r="M84" s="2">
        <v>259.62497439402102</v>
      </c>
      <c r="N84" s="2" t="s">
        <v>14</v>
      </c>
      <c r="O84" s="2" t="s">
        <v>14</v>
      </c>
      <c r="P84" s="2" t="s">
        <v>14</v>
      </c>
      <c r="Q84" s="2">
        <v>1.188622754491018</v>
      </c>
      <c r="R84" s="2">
        <v>6.1708163265306117</v>
      </c>
      <c r="S84" s="2" t="s">
        <v>14</v>
      </c>
      <c r="T84" s="2">
        <v>17.193612774451097</v>
      </c>
      <c r="U84" s="2">
        <v>26.991020408163266</v>
      </c>
      <c r="V84" s="2" t="s">
        <v>14</v>
      </c>
      <c r="W84" s="2" t="s">
        <v>14</v>
      </c>
      <c r="X84" s="2" t="s">
        <v>14</v>
      </c>
      <c r="Y84" s="2">
        <v>119.7</v>
      </c>
      <c r="Z84" s="2">
        <v>18.579999999999998</v>
      </c>
      <c r="AA84" s="2">
        <v>34.83</v>
      </c>
      <c r="AB84" s="2">
        <v>59.65</v>
      </c>
      <c r="AC84" s="2">
        <v>6.02</v>
      </c>
      <c r="AD84" s="2">
        <v>5.74</v>
      </c>
      <c r="AE84" s="2">
        <v>39.4</v>
      </c>
      <c r="AF84" s="2">
        <v>45.1</v>
      </c>
      <c r="AG84" s="2">
        <v>60.6</v>
      </c>
      <c r="AH84" s="2">
        <v>-15.5</v>
      </c>
      <c r="AI84" s="2">
        <v>65.78</v>
      </c>
      <c r="AJ84" s="2">
        <v>8.7799999999999994</v>
      </c>
      <c r="AK84" s="2">
        <v>0.70499999999999996</v>
      </c>
      <c r="AL84" s="2">
        <v>0.42899999999999999</v>
      </c>
      <c r="AM84" s="2">
        <v>0.84499999999999997</v>
      </c>
      <c r="AN84" s="2">
        <v>0.60899999999999999</v>
      </c>
      <c r="AO84" s="2">
        <v>0.30299999999999999</v>
      </c>
      <c r="AP84" s="2">
        <v>0.309</v>
      </c>
      <c r="AQ84" s="2">
        <v>1.5149999999999999</v>
      </c>
      <c r="AR84" s="2">
        <v>0.307</v>
      </c>
      <c r="AS84" s="2">
        <v>3.51</v>
      </c>
      <c r="AT84" s="2">
        <v>65.5</v>
      </c>
      <c r="AU84" s="2">
        <v>1.474</v>
      </c>
      <c r="AV84" s="2">
        <v>0.24</v>
      </c>
      <c r="AW84" s="2">
        <v>5.1999999999999998E-2</v>
      </c>
      <c r="AX84" s="2">
        <v>0.121</v>
      </c>
      <c r="AY84" s="2">
        <v>0.82599999999999996</v>
      </c>
      <c r="AZ84" s="2">
        <v>0.18</v>
      </c>
      <c r="BA84" s="2">
        <v>1.4</v>
      </c>
      <c r="BB84" s="2">
        <v>2.9</v>
      </c>
      <c r="BC84" s="2">
        <v>76</v>
      </c>
      <c r="BD84" s="2">
        <v>0.7</v>
      </c>
      <c r="BE84" s="2">
        <v>5.8</v>
      </c>
      <c r="BF84" s="2">
        <v>132</v>
      </c>
      <c r="BG84" s="2">
        <v>65</v>
      </c>
      <c r="BH84" s="2">
        <v>314</v>
      </c>
      <c r="BI84" s="2">
        <v>55</v>
      </c>
      <c r="BJ84" s="2">
        <v>7</v>
      </c>
      <c r="BK84" s="2">
        <v>9.5</v>
      </c>
      <c r="BL84" s="2">
        <v>2</v>
      </c>
      <c r="BM84" s="2">
        <v>0.6</v>
      </c>
      <c r="BN84" s="2">
        <v>0</v>
      </c>
      <c r="BO84" s="2">
        <v>0.17</v>
      </c>
      <c r="BP84" s="2">
        <v>1.57</v>
      </c>
      <c r="BQ84" s="2">
        <v>0.45</v>
      </c>
    </row>
    <row r="85" spans="1:69" x14ac:dyDescent="0.2">
      <c r="A85">
        <v>10</v>
      </c>
      <c r="B85">
        <v>278</v>
      </c>
      <c r="C85" t="s">
        <v>20</v>
      </c>
      <c r="D85" t="s">
        <v>7</v>
      </c>
      <c r="E85">
        <v>2</v>
      </c>
      <c r="F85" s="2">
        <v>92.637953091684366</v>
      </c>
      <c r="G85" s="2">
        <v>191.27984546039897</v>
      </c>
      <c r="H85" s="2">
        <v>253.13859275053315</v>
      </c>
      <c r="I85" s="2">
        <v>272.28100450740527</v>
      </c>
      <c r="J85" s="2">
        <v>345.7765458422175</v>
      </c>
      <c r="K85" s="2">
        <v>463.56084996780424</v>
      </c>
      <c r="L85" s="2">
        <v>98.641892368714608</v>
      </c>
      <c r="M85" s="2">
        <v>117.78430412558674</v>
      </c>
      <c r="N85" s="2">
        <v>0.63860000000000006</v>
      </c>
      <c r="O85" s="2">
        <v>8.2181999999999995</v>
      </c>
      <c r="P85" s="2">
        <v>0.255</v>
      </c>
      <c r="Q85" s="2">
        <v>2.9245999999999999</v>
      </c>
      <c r="R85" s="2">
        <v>1.1371257485029937</v>
      </c>
      <c r="S85" s="2">
        <v>9.1524000000000001</v>
      </c>
      <c r="T85" s="2">
        <v>26.252200000000002</v>
      </c>
      <c r="U85" s="2">
        <v>25.646307385229544</v>
      </c>
      <c r="V85" s="2">
        <v>17.376033133732534</v>
      </c>
      <c r="W85" s="2">
        <v>19.769399999999997</v>
      </c>
      <c r="X85" s="2">
        <v>9.4074000000000009</v>
      </c>
      <c r="Y85" s="2">
        <v>112.95</v>
      </c>
      <c r="Z85" s="2">
        <v>7.94</v>
      </c>
      <c r="AA85" s="2">
        <v>49.35</v>
      </c>
      <c r="AB85" s="2">
        <v>49.53</v>
      </c>
      <c r="AC85" s="2">
        <v>5.45</v>
      </c>
      <c r="AD85" s="2">
        <v>7.6</v>
      </c>
      <c r="AE85" s="2">
        <v>52.67</v>
      </c>
      <c r="AF85" s="2">
        <v>60.3</v>
      </c>
      <c r="AG85" s="2">
        <v>57.2</v>
      </c>
      <c r="AH85" s="2">
        <v>3.1</v>
      </c>
      <c r="AI85" s="2">
        <v>46.71</v>
      </c>
      <c r="AJ85" s="2">
        <v>5.97</v>
      </c>
      <c r="AK85" s="2">
        <v>0.54300000000000004</v>
      </c>
      <c r="AL85" s="2">
        <v>0.54900000000000004</v>
      </c>
      <c r="AM85" s="2">
        <v>1.052</v>
      </c>
      <c r="AN85" s="2">
        <v>1.0109999999999999</v>
      </c>
      <c r="AO85" s="2">
        <v>0.29799999999999999</v>
      </c>
      <c r="AP85" s="2">
        <v>0.95699999999999996</v>
      </c>
      <c r="AQ85" s="2">
        <v>1.43</v>
      </c>
      <c r="AR85" s="2">
        <v>0.68400000000000005</v>
      </c>
      <c r="AS85" s="2">
        <v>8.61</v>
      </c>
      <c r="AT85" s="2">
        <v>103.7</v>
      </c>
      <c r="AU85" s="2">
        <v>1.3779999999999999</v>
      </c>
      <c r="AV85" s="2">
        <v>2.86</v>
      </c>
      <c r="AW85" s="2">
        <v>6.0999999999999999E-2</v>
      </c>
      <c r="AX85" s="2">
        <v>8.8999999999999996E-2</v>
      </c>
      <c r="AY85" s="2">
        <v>0.85</v>
      </c>
      <c r="AZ85" s="2">
        <v>0.27</v>
      </c>
      <c r="BA85" s="2">
        <v>1.3</v>
      </c>
      <c r="BB85" s="2">
        <v>3.1</v>
      </c>
      <c r="BC85" s="2">
        <v>63</v>
      </c>
      <c r="BD85" s="2">
        <v>1.2</v>
      </c>
      <c r="BE85" s="2">
        <v>5.3</v>
      </c>
      <c r="BF85" s="2">
        <v>97</v>
      </c>
      <c r="BG85" s="2">
        <v>70</v>
      </c>
      <c r="BH85" s="2">
        <v>282</v>
      </c>
      <c r="BI85" s="2">
        <v>45</v>
      </c>
      <c r="BJ85" s="2">
        <v>12</v>
      </c>
      <c r="BK85" s="2">
        <v>28.3</v>
      </c>
      <c r="BL85" s="2">
        <v>2.5</v>
      </c>
      <c r="BM85" s="2">
        <v>0.7</v>
      </c>
      <c r="BN85" s="2">
        <v>0</v>
      </c>
      <c r="BO85" s="2">
        <v>0.18</v>
      </c>
      <c r="BP85" s="2">
        <v>1.41</v>
      </c>
      <c r="BQ85" s="2">
        <v>0.37</v>
      </c>
    </row>
    <row r="86" spans="1:69" x14ac:dyDescent="0.2">
      <c r="A86">
        <v>10</v>
      </c>
      <c r="B86">
        <v>29</v>
      </c>
      <c r="C86" t="s">
        <v>19</v>
      </c>
      <c r="D86" t="s">
        <v>7</v>
      </c>
      <c r="E86">
        <v>3</v>
      </c>
      <c r="F86" s="2">
        <v>158.84017467248853</v>
      </c>
      <c r="G86" s="2">
        <v>265.42907180385242</v>
      </c>
      <c r="H86" s="2">
        <v>255.46794759825323</v>
      </c>
      <c r="I86" s="2">
        <v>611.81401050788088</v>
      </c>
      <c r="J86" s="2">
        <v>414.30812227074176</v>
      </c>
      <c r="K86" s="2">
        <v>877.24308231173336</v>
      </c>
      <c r="L86" s="2">
        <v>106.58889713136389</v>
      </c>
      <c r="M86" s="2">
        <v>462.9349600409916</v>
      </c>
      <c r="N86" s="2">
        <v>1.0643</v>
      </c>
      <c r="O86" s="2">
        <v>16.731000000000002</v>
      </c>
      <c r="P86" s="2">
        <v>0.68479999999999996</v>
      </c>
      <c r="Q86" s="2">
        <v>2.5432567432567432</v>
      </c>
      <c r="R86" s="2">
        <v>7.757873620862588</v>
      </c>
      <c r="S86" s="2">
        <v>21.822199999999999</v>
      </c>
      <c r="T86" s="2">
        <v>46.412387612387612</v>
      </c>
      <c r="U86" s="2">
        <v>21.556268806419258</v>
      </c>
      <c r="V86" s="2">
        <v>6.8071424272818462</v>
      </c>
      <c r="W86" s="2">
        <v>26.448644355644355</v>
      </c>
      <c r="X86" s="2">
        <v>22.506999999999998</v>
      </c>
      <c r="Y86" s="2">
        <v>108.38</v>
      </c>
      <c r="Z86" s="2">
        <v>44.21</v>
      </c>
      <c r="AA86" s="2">
        <v>17.75</v>
      </c>
      <c r="AB86" s="2">
        <v>38.880000000000003</v>
      </c>
      <c r="AC86" s="2">
        <v>7.11</v>
      </c>
      <c r="AD86" s="2">
        <v>10.34</v>
      </c>
      <c r="AE86" s="2">
        <v>23.81</v>
      </c>
      <c r="AF86" s="2">
        <v>34.200000000000003</v>
      </c>
      <c r="AG86" s="2">
        <v>54.9</v>
      </c>
      <c r="AH86" s="2">
        <v>-20.7</v>
      </c>
      <c r="AI86" s="2">
        <v>66.38</v>
      </c>
      <c r="AJ86" s="2">
        <v>7.85</v>
      </c>
      <c r="AK86" s="2">
        <v>1.3320000000000001</v>
      </c>
      <c r="AL86" s="2">
        <v>0.50700000000000001</v>
      </c>
      <c r="AM86" s="2">
        <v>0.55100000000000005</v>
      </c>
      <c r="AN86" s="2">
        <v>0.38100000000000001</v>
      </c>
      <c r="AO86" s="2">
        <v>0.67500000000000004</v>
      </c>
      <c r="AP86" s="2">
        <v>0.23400000000000001</v>
      </c>
      <c r="AQ86" s="2">
        <v>1.3720000000000001</v>
      </c>
      <c r="AR86" s="2">
        <v>0.92100000000000004</v>
      </c>
      <c r="AS86" s="2">
        <v>13.68</v>
      </c>
      <c r="AT86" s="2">
        <v>117.9</v>
      </c>
      <c r="AU86" s="2">
        <v>1.508</v>
      </c>
      <c r="AV86" s="2">
        <v>9.48</v>
      </c>
      <c r="AW86" s="2">
        <v>0.122</v>
      </c>
      <c r="AX86" s="2">
        <v>0.183</v>
      </c>
      <c r="AY86" s="2">
        <v>0.69499999999999995</v>
      </c>
      <c r="AZ86" s="2">
        <v>0.71</v>
      </c>
      <c r="BA86" s="2">
        <v>1.24</v>
      </c>
      <c r="BB86" s="2">
        <v>7.6</v>
      </c>
      <c r="BC86" s="2">
        <v>82</v>
      </c>
      <c r="BD86" s="2">
        <v>1.4</v>
      </c>
      <c r="BE86" s="2">
        <v>5.9</v>
      </c>
      <c r="BF86" s="2">
        <v>402</v>
      </c>
      <c r="BG86" s="2">
        <v>103</v>
      </c>
      <c r="BH86" s="2">
        <v>1004</v>
      </c>
      <c r="BI86" s="2">
        <v>120</v>
      </c>
      <c r="BJ86" s="2">
        <v>16</v>
      </c>
      <c r="BK86" s="2">
        <v>33.799999999999997</v>
      </c>
      <c r="BL86" s="2">
        <v>14.3</v>
      </c>
      <c r="BM86" s="2">
        <v>1.4</v>
      </c>
      <c r="BN86" s="2">
        <v>0</v>
      </c>
      <c r="BO86" s="2">
        <v>0.26</v>
      </c>
      <c r="BP86" s="2">
        <v>5.0199999999999996</v>
      </c>
      <c r="BQ86" s="2">
        <v>0.99</v>
      </c>
    </row>
    <row r="87" spans="1:69" x14ac:dyDescent="0.2">
      <c r="A87">
        <v>20</v>
      </c>
      <c r="B87">
        <v>39</v>
      </c>
      <c r="C87" t="s">
        <v>19</v>
      </c>
      <c r="D87" t="s">
        <v>0</v>
      </c>
      <c r="E87">
        <v>1</v>
      </c>
      <c r="F87" s="2">
        <v>300.18009188361401</v>
      </c>
      <c r="G87" s="2" t="s">
        <v>14</v>
      </c>
      <c r="H87" s="2">
        <v>512.16294027565084</v>
      </c>
      <c r="I87" s="2">
        <v>585.42489270386261</v>
      </c>
      <c r="J87" s="2">
        <v>812.34303215926479</v>
      </c>
      <c r="K87" s="2" t="s">
        <v>14</v>
      </c>
      <c r="L87" s="2" t="s">
        <v>14</v>
      </c>
      <c r="M87" s="2" t="s">
        <v>14</v>
      </c>
      <c r="N87" s="2">
        <v>1.6822999999999999</v>
      </c>
      <c r="O87" s="2">
        <v>24.205000000000002</v>
      </c>
      <c r="P87" s="2">
        <v>0.57600000000000007</v>
      </c>
      <c r="Q87" s="2">
        <v>5.2489999999999997</v>
      </c>
      <c r="R87" s="2">
        <v>6.9194000000000004</v>
      </c>
      <c r="S87" s="2">
        <v>28.497800000000002</v>
      </c>
      <c r="T87" s="2">
        <v>92.475399999999993</v>
      </c>
      <c r="U87" s="2">
        <v>75.522999999999996</v>
      </c>
      <c r="V87" s="2">
        <v>53.368599999999986</v>
      </c>
      <c r="W87" s="2">
        <v>68.650599999999983</v>
      </c>
      <c r="X87" s="2">
        <v>29.073800000000002</v>
      </c>
      <c r="Y87" s="2">
        <v>94.38</v>
      </c>
      <c r="Z87" s="2">
        <v>44.08</v>
      </c>
      <c r="AA87" s="2">
        <v>17.68</v>
      </c>
      <c r="AB87" s="2">
        <v>29.33</v>
      </c>
      <c r="AC87" s="2">
        <v>2.93</v>
      </c>
      <c r="AD87" s="2">
        <v>37.25</v>
      </c>
      <c r="AE87" s="2">
        <v>19.37</v>
      </c>
      <c r="AF87" s="2">
        <v>56.6</v>
      </c>
      <c r="AG87" s="2">
        <v>47.8</v>
      </c>
      <c r="AH87" s="2">
        <v>8.8000000000000007</v>
      </c>
      <c r="AI87" s="2">
        <v>33.44</v>
      </c>
      <c r="AJ87" s="2">
        <v>4.32</v>
      </c>
      <c r="AK87" s="2">
        <v>1.508</v>
      </c>
      <c r="AL87" s="2">
        <v>1.3180000000000001</v>
      </c>
      <c r="AM87" s="2">
        <v>0.91700000000000004</v>
      </c>
      <c r="AN87" s="2">
        <v>0.874</v>
      </c>
      <c r="AO87" s="2">
        <v>1.988</v>
      </c>
      <c r="AP87" s="2">
        <v>0.84499999999999997</v>
      </c>
      <c r="AQ87" s="2">
        <v>1.1950000000000001</v>
      </c>
      <c r="AR87" s="2">
        <v>1.361</v>
      </c>
      <c r="AS87" s="2">
        <v>20.77</v>
      </c>
      <c r="AT87" s="2">
        <v>283.5</v>
      </c>
      <c r="AU87" s="2">
        <v>1.282</v>
      </c>
      <c r="AV87" s="2">
        <v>8.9</v>
      </c>
      <c r="AW87" s="2">
        <v>0.159</v>
      </c>
      <c r="AX87" s="2">
        <v>0.14599999999999999</v>
      </c>
      <c r="AY87" s="2">
        <v>0.69499999999999995</v>
      </c>
      <c r="AZ87" s="2">
        <v>0.51</v>
      </c>
      <c r="BA87" s="2">
        <v>1.01</v>
      </c>
      <c r="BB87" s="2">
        <v>6.7</v>
      </c>
      <c r="BC87" s="2">
        <v>82</v>
      </c>
      <c r="BD87" s="2">
        <v>1.2</v>
      </c>
      <c r="BE87" s="2">
        <v>5.7</v>
      </c>
      <c r="BF87" s="2">
        <v>181</v>
      </c>
      <c r="BG87" s="2">
        <v>128</v>
      </c>
      <c r="BH87" s="2">
        <v>754</v>
      </c>
      <c r="BI87" s="2">
        <v>168</v>
      </c>
      <c r="BJ87" s="2">
        <v>12</v>
      </c>
      <c r="BK87" s="2">
        <v>12.2</v>
      </c>
      <c r="BL87" s="2">
        <v>4.0999999999999996</v>
      </c>
      <c r="BM87" s="2">
        <v>0.9</v>
      </c>
      <c r="BN87" s="2">
        <v>0</v>
      </c>
      <c r="BO87" s="2">
        <v>0.33</v>
      </c>
      <c r="BP87" s="2">
        <v>3.77</v>
      </c>
      <c r="BQ87" s="2">
        <v>1.38</v>
      </c>
    </row>
    <row r="88" spans="1:69" x14ac:dyDescent="0.2">
      <c r="A88">
        <v>20</v>
      </c>
      <c r="B88">
        <v>63</v>
      </c>
      <c r="C88" t="s">
        <v>19</v>
      </c>
      <c r="D88" t="s">
        <v>3</v>
      </c>
      <c r="E88">
        <v>2</v>
      </c>
      <c r="F88" s="2">
        <v>375.8858212447355</v>
      </c>
      <c r="G88" s="2">
        <v>419.47657701711478</v>
      </c>
      <c r="H88" s="2">
        <v>668.08385587271869</v>
      </c>
      <c r="I88" s="2">
        <v>650.7074816625917</v>
      </c>
      <c r="J88" s="2">
        <v>1043.9696771174542</v>
      </c>
      <c r="K88" s="2">
        <v>1070.1840586797066</v>
      </c>
      <c r="L88" s="2">
        <v>43.590755772379282</v>
      </c>
      <c r="M88" s="2">
        <v>26.214381562252356</v>
      </c>
      <c r="N88" s="2">
        <v>3.0859999999999999</v>
      </c>
      <c r="O88" s="2">
        <v>29.243000000000002</v>
      </c>
      <c r="P88" s="2">
        <v>0.54879999999999995</v>
      </c>
      <c r="Q88" s="2">
        <v>71.808199999999999</v>
      </c>
      <c r="R88" s="2">
        <v>101.50220000000002</v>
      </c>
      <c r="S88" s="2">
        <v>30.486000000000001</v>
      </c>
      <c r="T88" s="2">
        <v>78.863799999999998</v>
      </c>
      <c r="U88" s="2">
        <v>53.555800000000005</v>
      </c>
      <c r="V88" s="2">
        <v>124.02320000000002</v>
      </c>
      <c r="W88" s="2">
        <v>119.63719999999999</v>
      </c>
      <c r="X88" s="2">
        <v>31.034800000000001</v>
      </c>
      <c r="Y88" s="2">
        <v>84.91</v>
      </c>
      <c r="Z88" s="2">
        <v>54.96</v>
      </c>
      <c r="AA88" s="2">
        <v>17.760000000000002</v>
      </c>
      <c r="AB88" s="2">
        <v>10.59</v>
      </c>
      <c r="AC88" s="2">
        <v>1.41</v>
      </c>
      <c r="AD88" s="2">
        <v>32.380000000000003</v>
      </c>
      <c r="AE88" s="2">
        <v>28.02</v>
      </c>
      <c r="AF88" s="2">
        <v>60.4</v>
      </c>
      <c r="AG88" s="2">
        <v>43</v>
      </c>
      <c r="AH88" s="2">
        <v>17.399999999999999</v>
      </c>
      <c r="AI88" s="2">
        <v>20.82</v>
      </c>
      <c r="AJ88" s="2">
        <v>3.69</v>
      </c>
      <c r="AK88" s="2">
        <v>2.0110000000000001</v>
      </c>
      <c r="AL88" s="2">
        <v>1.341</v>
      </c>
      <c r="AM88" s="2">
        <v>0.83099999999999996</v>
      </c>
      <c r="AN88" s="2">
        <v>0.66700000000000004</v>
      </c>
      <c r="AO88" s="2">
        <v>2.6970000000000001</v>
      </c>
      <c r="AP88" s="2">
        <v>0.58899999999999997</v>
      </c>
      <c r="AQ88" s="2">
        <v>1.075</v>
      </c>
      <c r="AR88" s="2">
        <v>2.649</v>
      </c>
      <c r="AS88" s="2">
        <v>28.17</v>
      </c>
      <c r="AT88" s="2">
        <v>231.2</v>
      </c>
      <c r="AU88" s="2">
        <v>1.2010000000000001</v>
      </c>
      <c r="AV88" s="2">
        <v>4.71</v>
      </c>
      <c r="AW88" s="2">
        <v>0.182</v>
      </c>
      <c r="AX88" s="2">
        <v>0.184</v>
      </c>
      <c r="AY88" s="2">
        <v>0.63400000000000001</v>
      </c>
      <c r="AZ88" s="2">
        <v>0.41</v>
      </c>
      <c r="BA88" s="2">
        <v>0.95</v>
      </c>
      <c r="BB88" s="2">
        <v>11</v>
      </c>
      <c r="BC88" s="2">
        <v>91</v>
      </c>
      <c r="BD88" s="2">
        <v>1</v>
      </c>
      <c r="BE88" s="2">
        <v>6.2</v>
      </c>
      <c r="BF88" s="2">
        <v>193</v>
      </c>
      <c r="BG88" s="2">
        <v>218</v>
      </c>
      <c r="BH88" s="2">
        <v>1353</v>
      </c>
      <c r="BI88" s="2">
        <v>323</v>
      </c>
      <c r="BJ88" s="2">
        <v>14</v>
      </c>
      <c r="BK88" s="2">
        <v>25.4</v>
      </c>
      <c r="BL88" s="2">
        <v>20.6</v>
      </c>
      <c r="BM88" s="2">
        <v>7.6</v>
      </c>
      <c r="BN88" s="2">
        <v>0.1</v>
      </c>
      <c r="BO88" s="2">
        <v>0.56000000000000005</v>
      </c>
      <c r="BP88" s="2">
        <v>6.77</v>
      </c>
      <c r="BQ88" s="2">
        <v>2.66</v>
      </c>
    </row>
    <row r="89" spans="1:69" x14ac:dyDescent="0.2">
      <c r="A89">
        <v>20</v>
      </c>
      <c r="B89">
        <v>67</v>
      </c>
      <c r="C89" t="s">
        <v>19</v>
      </c>
      <c r="D89" t="s">
        <v>0</v>
      </c>
      <c r="E89">
        <v>2</v>
      </c>
      <c r="F89" s="2">
        <v>676.27169062964788</v>
      </c>
      <c r="G89" s="2">
        <v>671.88382165605071</v>
      </c>
      <c r="H89" s="2">
        <v>898.68993554784311</v>
      </c>
      <c r="I89" s="2">
        <v>839.21121019108261</v>
      </c>
      <c r="J89" s="2">
        <v>1574.9616261774909</v>
      </c>
      <c r="K89" s="2">
        <v>1511.0950318471332</v>
      </c>
      <c r="L89" s="2">
        <v>-4.3878689735971648</v>
      </c>
      <c r="M89" s="2">
        <v>-63.866594330357657</v>
      </c>
      <c r="N89" s="2">
        <v>5.2381000000000002</v>
      </c>
      <c r="O89" s="2">
        <v>48.997</v>
      </c>
      <c r="P89" s="2">
        <v>0.18640000000000001</v>
      </c>
      <c r="Q89" s="2">
        <v>92.573000000000008</v>
      </c>
      <c r="R89" s="2">
        <v>75.7286</v>
      </c>
      <c r="S89" s="2">
        <v>42.209600000000002</v>
      </c>
      <c r="T89" s="2">
        <v>162.65620000000001</v>
      </c>
      <c r="U89" s="2">
        <v>176.0266</v>
      </c>
      <c r="V89" s="2">
        <v>209.35919999999999</v>
      </c>
      <c r="W89" s="2">
        <v>212.83320000000003</v>
      </c>
      <c r="X89" s="2">
        <v>42.396000000000001</v>
      </c>
      <c r="Y89" s="2">
        <v>79.989999999999995</v>
      </c>
      <c r="Z89" s="2">
        <v>38.49</v>
      </c>
      <c r="AA89" s="2">
        <v>24.27</v>
      </c>
      <c r="AB89" s="2">
        <v>15.87</v>
      </c>
      <c r="AC89" s="2">
        <v>1.1000000000000001</v>
      </c>
      <c r="AD89" s="2">
        <v>32.909999999999997</v>
      </c>
      <c r="AE89" s="2">
        <v>27.02</v>
      </c>
      <c r="AF89" s="2">
        <v>59.9</v>
      </c>
      <c r="AG89" s="2">
        <v>40.5</v>
      </c>
      <c r="AH89" s="2">
        <v>19.399999999999999</v>
      </c>
      <c r="AI89" s="2">
        <v>17.88</v>
      </c>
      <c r="AJ89" s="2">
        <v>2.1800000000000002</v>
      </c>
      <c r="AK89" s="2">
        <v>1.6040000000000001</v>
      </c>
      <c r="AL89" s="2">
        <v>1.429</v>
      </c>
      <c r="AM89" s="2">
        <v>0.95499999999999996</v>
      </c>
      <c r="AN89" s="2">
        <v>0.89100000000000001</v>
      </c>
      <c r="AO89" s="2">
        <v>2.2909999999999999</v>
      </c>
      <c r="AP89" s="2">
        <v>0.85499999999999998</v>
      </c>
      <c r="AQ89" s="2">
        <v>1.0129999999999999</v>
      </c>
      <c r="AR89" s="2">
        <v>4.367</v>
      </c>
      <c r="AS89" s="2">
        <v>45.27</v>
      </c>
      <c r="AT89" s="2">
        <v>488.1</v>
      </c>
      <c r="AU89" s="2">
        <v>1.115</v>
      </c>
      <c r="AV89" s="2">
        <v>2.83</v>
      </c>
      <c r="AW89" s="2">
        <v>0.13500000000000001</v>
      </c>
      <c r="AX89" s="2">
        <v>0.14099999999999999</v>
      </c>
      <c r="AY89" s="2">
        <v>0.72299999999999998</v>
      </c>
      <c r="AZ89" s="2">
        <v>0.41</v>
      </c>
      <c r="BA89" s="2">
        <v>0.79</v>
      </c>
      <c r="BB89" s="2">
        <v>11</v>
      </c>
      <c r="BC89" s="2">
        <v>90</v>
      </c>
      <c r="BD89" s="2">
        <v>1.1000000000000001</v>
      </c>
      <c r="BE89" s="2">
        <v>6.1</v>
      </c>
      <c r="BF89" s="2">
        <v>115</v>
      </c>
      <c r="BG89" s="2">
        <v>192</v>
      </c>
      <c r="BH89" s="2">
        <v>1340</v>
      </c>
      <c r="BI89" s="2">
        <v>332</v>
      </c>
      <c r="BJ89" s="2">
        <v>13</v>
      </c>
      <c r="BK89" s="2">
        <v>14.4</v>
      </c>
      <c r="BL89" s="2">
        <v>18.8</v>
      </c>
      <c r="BM89" s="2">
        <v>6.4</v>
      </c>
      <c r="BN89" s="2">
        <v>0</v>
      </c>
      <c r="BO89" s="2">
        <v>0.49</v>
      </c>
      <c r="BP89" s="2">
        <v>6.7</v>
      </c>
      <c r="BQ89" s="2">
        <v>2.73</v>
      </c>
    </row>
    <row r="90" spans="1:69" x14ac:dyDescent="0.2">
      <c r="A90">
        <v>20</v>
      </c>
      <c r="B90">
        <v>92</v>
      </c>
      <c r="C90" t="s">
        <v>19</v>
      </c>
      <c r="D90" t="s">
        <v>5</v>
      </c>
      <c r="E90">
        <v>4</v>
      </c>
      <c r="F90" s="2">
        <v>702.64513761467856</v>
      </c>
      <c r="G90" s="2">
        <v>949.61170731707318</v>
      </c>
      <c r="H90" s="2">
        <v>1177.2550458715596</v>
      </c>
      <c r="I90" s="2">
        <v>1271.6253658536586</v>
      </c>
      <c r="J90" s="2">
        <v>1879.9001834862381</v>
      </c>
      <c r="K90" s="2">
        <v>2221.2370731707319</v>
      </c>
      <c r="L90" s="2">
        <v>246.96656970239462</v>
      </c>
      <c r="M90" s="2">
        <v>341.33688968449383</v>
      </c>
      <c r="N90" s="2">
        <v>5.8613999999999997</v>
      </c>
      <c r="O90" s="2">
        <v>91.081000000000003</v>
      </c>
      <c r="P90" s="2">
        <v>0.23601609657947686</v>
      </c>
      <c r="Q90" s="2">
        <v>9.3925999999999998</v>
      </c>
      <c r="R90" s="2">
        <v>9.1981999999999999</v>
      </c>
      <c r="S90" s="2">
        <v>56.597183098591557</v>
      </c>
      <c r="T90" s="2">
        <v>211.90479999999999</v>
      </c>
      <c r="U90" s="2">
        <v>216.43879999999999</v>
      </c>
      <c r="V90" s="2">
        <v>168.80380080482897</v>
      </c>
      <c r="W90" s="2">
        <v>164.46420080482895</v>
      </c>
      <c r="X90" s="2">
        <v>56.833199195171034</v>
      </c>
      <c r="Y90" s="2">
        <v>72.14</v>
      </c>
      <c r="Z90" s="2">
        <v>23.68</v>
      </c>
      <c r="AA90" s="2">
        <v>20.5</v>
      </c>
      <c r="AB90" s="2">
        <v>24.8</v>
      </c>
      <c r="AC90" s="2">
        <v>2.76</v>
      </c>
      <c r="AD90" s="2">
        <v>25.21</v>
      </c>
      <c r="AE90" s="2">
        <v>20.69</v>
      </c>
      <c r="AF90" s="2">
        <v>45.9</v>
      </c>
      <c r="AG90" s="2">
        <v>36.5</v>
      </c>
      <c r="AH90" s="2">
        <v>9.4</v>
      </c>
      <c r="AI90" s="2">
        <v>22.92</v>
      </c>
      <c r="AJ90" s="2">
        <v>3.32</v>
      </c>
      <c r="AK90" s="2">
        <v>1.175</v>
      </c>
      <c r="AL90" s="2">
        <v>1.234</v>
      </c>
      <c r="AM90" s="2">
        <v>1.0389999999999999</v>
      </c>
      <c r="AN90" s="2">
        <v>1.05</v>
      </c>
      <c r="AO90" s="2">
        <v>1.4490000000000001</v>
      </c>
      <c r="AP90" s="2">
        <v>1.0649999999999999</v>
      </c>
      <c r="AQ90" s="2">
        <v>0.91300000000000003</v>
      </c>
      <c r="AR90" s="2">
        <v>4.1349999999999998</v>
      </c>
      <c r="AS90" s="2">
        <v>69.290000000000006</v>
      </c>
      <c r="AT90" s="2">
        <v>617.20000000000005</v>
      </c>
      <c r="AU90" s="2">
        <v>0.86899999999999999</v>
      </c>
      <c r="AV90" s="2">
        <v>7.38</v>
      </c>
      <c r="AW90" s="2">
        <v>0.128</v>
      </c>
      <c r="AX90" s="2">
        <v>0.14799999999999999</v>
      </c>
      <c r="AY90" s="2">
        <v>0.72499999999999998</v>
      </c>
      <c r="AZ90" s="2">
        <v>0.97</v>
      </c>
      <c r="BA90" s="2">
        <v>0.69</v>
      </c>
      <c r="BB90" s="2">
        <v>10.7</v>
      </c>
      <c r="BC90" s="2">
        <v>70</v>
      </c>
      <c r="BD90" s="2">
        <v>3.2</v>
      </c>
      <c r="BE90" s="2">
        <v>5.0999999999999996</v>
      </c>
      <c r="BF90" s="2">
        <v>35</v>
      </c>
      <c r="BG90" s="2">
        <v>156</v>
      </c>
      <c r="BH90" s="2">
        <v>1225</v>
      </c>
      <c r="BI90" s="2">
        <v>125</v>
      </c>
      <c r="BJ90" s="2">
        <v>21</v>
      </c>
      <c r="BK90" s="2">
        <v>22.8</v>
      </c>
      <c r="BL90" s="2">
        <v>11.6</v>
      </c>
      <c r="BM90" s="2">
        <v>1.4</v>
      </c>
      <c r="BN90" s="2">
        <v>0</v>
      </c>
      <c r="BO90" s="2">
        <v>0.4</v>
      </c>
      <c r="BP90" s="2">
        <v>6.13</v>
      </c>
      <c r="BQ90" s="2">
        <v>1.03</v>
      </c>
    </row>
    <row r="91" spans="1:69" x14ac:dyDescent="0.2">
      <c r="A91">
        <v>10</v>
      </c>
      <c r="B91">
        <v>98</v>
      </c>
      <c r="C91" t="s">
        <v>19</v>
      </c>
      <c r="D91" t="s">
        <v>7</v>
      </c>
      <c r="E91">
        <v>2</v>
      </c>
      <c r="F91" s="2">
        <v>233.39364773820949</v>
      </c>
      <c r="G91" s="2">
        <v>186.41069518716515</v>
      </c>
      <c r="H91" s="2">
        <v>523.67699711260821</v>
      </c>
      <c r="I91" s="2">
        <v>595.7037433155075</v>
      </c>
      <c r="J91" s="2">
        <v>757.07064485081764</v>
      </c>
      <c r="K91" s="2">
        <v>782.11443850267267</v>
      </c>
      <c r="L91" s="2">
        <v>-46.982952551044349</v>
      </c>
      <c r="M91" s="2">
        <v>25.043793651855026</v>
      </c>
      <c r="N91" s="2">
        <v>1.4013</v>
      </c>
      <c r="O91" s="2">
        <v>16.913</v>
      </c>
      <c r="P91" s="2">
        <v>0.50239999999999996</v>
      </c>
      <c r="Q91" s="2">
        <v>11.694557823129252</v>
      </c>
      <c r="R91" s="2">
        <v>2.4870000000000001</v>
      </c>
      <c r="S91" s="2">
        <v>20.7074</v>
      </c>
      <c r="T91" s="2">
        <v>65.192743764172334</v>
      </c>
      <c r="U91" s="2">
        <v>46.252400000000002</v>
      </c>
      <c r="V91" s="2">
        <v>27.529600000000002</v>
      </c>
      <c r="W91" s="2">
        <v>55.677501587301578</v>
      </c>
      <c r="X91" s="2">
        <v>21.209800000000001</v>
      </c>
      <c r="Y91" s="2">
        <v>107.37</v>
      </c>
      <c r="Z91" s="2">
        <v>43.34</v>
      </c>
      <c r="AA91" s="2">
        <v>18.37</v>
      </c>
      <c r="AB91" s="2">
        <v>40.56</v>
      </c>
      <c r="AC91" s="2">
        <v>4.6900000000000004</v>
      </c>
      <c r="AD91" s="2">
        <v>10.77</v>
      </c>
      <c r="AE91" s="2">
        <v>27.17</v>
      </c>
      <c r="AF91" s="2">
        <v>37.9</v>
      </c>
      <c r="AG91" s="2">
        <v>54.4</v>
      </c>
      <c r="AH91" s="2">
        <v>-16.399999999999999</v>
      </c>
      <c r="AI91" s="2">
        <v>62.64</v>
      </c>
      <c r="AJ91" s="2">
        <v>6.79</v>
      </c>
      <c r="AK91" s="2">
        <v>1.3260000000000001</v>
      </c>
      <c r="AL91" s="2">
        <v>0.53700000000000003</v>
      </c>
      <c r="AM91" s="2">
        <v>0.61499999999999999</v>
      </c>
      <c r="AN91" s="2">
        <v>0.40500000000000003</v>
      </c>
      <c r="AO91" s="2">
        <v>0.71199999999999997</v>
      </c>
      <c r="AP91" s="2">
        <v>0.249</v>
      </c>
      <c r="AQ91" s="2">
        <v>1.359</v>
      </c>
      <c r="AR91" s="2">
        <v>1.0089999999999999</v>
      </c>
      <c r="AS91" s="2">
        <v>12.68</v>
      </c>
      <c r="AT91" s="2">
        <v>133.1</v>
      </c>
      <c r="AU91" s="2">
        <v>1.3939999999999999</v>
      </c>
      <c r="AV91" s="2">
        <v>5.09</v>
      </c>
      <c r="AW91" s="2">
        <v>0.108</v>
      </c>
      <c r="AX91" s="2">
        <v>0.16400000000000001</v>
      </c>
      <c r="AY91" s="2">
        <v>0.72899999999999998</v>
      </c>
      <c r="AZ91" s="2">
        <v>0.46</v>
      </c>
      <c r="BA91" s="2">
        <v>1.17</v>
      </c>
      <c r="BB91" s="2">
        <v>8.3000000000000007</v>
      </c>
      <c r="BC91" s="2">
        <v>85</v>
      </c>
      <c r="BD91" s="2">
        <v>1.2</v>
      </c>
      <c r="BE91" s="2">
        <v>5.8</v>
      </c>
      <c r="BF91" s="2">
        <v>634</v>
      </c>
      <c r="BG91" s="2">
        <v>136</v>
      </c>
      <c r="BH91" s="2">
        <v>1186</v>
      </c>
      <c r="BI91" s="2">
        <v>94</v>
      </c>
      <c r="BJ91" s="2">
        <v>15</v>
      </c>
      <c r="BK91" s="2">
        <v>40.1</v>
      </c>
      <c r="BL91" s="2">
        <v>16.3</v>
      </c>
      <c r="BM91" s="2">
        <v>1.9</v>
      </c>
      <c r="BN91" s="2">
        <v>0.1</v>
      </c>
      <c r="BO91" s="2">
        <v>0.35</v>
      </c>
      <c r="BP91" s="2">
        <v>5.93</v>
      </c>
      <c r="BQ91" s="2">
        <v>0.77</v>
      </c>
    </row>
    <row r="92" spans="1:69" x14ac:dyDescent="0.2">
      <c r="A92">
        <v>10</v>
      </c>
      <c r="B92">
        <v>111</v>
      </c>
      <c r="C92" t="s">
        <v>19</v>
      </c>
      <c r="D92" t="s">
        <v>7</v>
      </c>
      <c r="E92">
        <v>1</v>
      </c>
      <c r="F92" s="2">
        <v>181.04436860068193</v>
      </c>
      <c r="G92" s="2">
        <v>185.06864014801064</v>
      </c>
      <c r="H92" s="2">
        <v>640.12116040955596</v>
      </c>
      <c r="I92" s="2">
        <v>489.31026827011993</v>
      </c>
      <c r="J92" s="2">
        <v>821.16552901023783</v>
      </c>
      <c r="K92" s="2">
        <v>674.37890841813055</v>
      </c>
      <c r="L92" s="2">
        <v>4.0242715473287092</v>
      </c>
      <c r="M92" s="2">
        <v>-146.78662059210728</v>
      </c>
      <c r="N92" s="2">
        <v>1.3424</v>
      </c>
      <c r="O92" s="2">
        <v>21.76</v>
      </c>
      <c r="P92" s="2">
        <v>0.39295154185022024</v>
      </c>
      <c r="Q92" s="2">
        <v>0.80993071593533494</v>
      </c>
      <c r="R92" s="2">
        <v>0.501</v>
      </c>
      <c r="S92" s="2">
        <v>37.818061674008803</v>
      </c>
      <c r="T92" s="2">
        <v>64.918706697459584</v>
      </c>
      <c r="U92" s="2">
        <v>56.923999999999999</v>
      </c>
      <c r="V92" s="2">
        <v>19.213986784140971</v>
      </c>
      <c r="W92" s="2">
        <v>27.517624197535895</v>
      </c>
      <c r="X92" s="2">
        <v>38.211013215859026</v>
      </c>
      <c r="Y92" s="2">
        <v>102.59</v>
      </c>
      <c r="Z92" s="2">
        <v>46.01</v>
      </c>
      <c r="AA92" s="2">
        <v>19.22</v>
      </c>
      <c r="AB92" s="2">
        <v>34.020000000000003</v>
      </c>
      <c r="AC92" s="2">
        <v>2.91</v>
      </c>
      <c r="AD92" s="2">
        <v>13.92</v>
      </c>
      <c r="AE92" s="2">
        <v>14.38</v>
      </c>
      <c r="AF92" s="2">
        <v>28.3</v>
      </c>
      <c r="AG92" s="2">
        <v>51.9</v>
      </c>
      <c r="AH92" s="2">
        <v>-23.6</v>
      </c>
      <c r="AI92" s="2">
        <v>66.39</v>
      </c>
      <c r="AJ92" s="2">
        <v>7.9</v>
      </c>
      <c r="AK92" s="2">
        <v>1.458</v>
      </c>
      <c r="AL92" s="2">
        <v>0.57799999999999996</v>
      </c>
      <c r="AM92" s="2">
        <v>0.434</v>
      </c>
      <c r="AN92" s="2">
        <v>0.39700000000000002</v>
      </c>
      <c r="AO92" s="2">
        <v>0.84299999999999997</v>
      </c>
      <c r="AP92" s="2">
        <v>0.30299999999999999</v>
      </c>
      <c r="AQ92" s="2">
        <v>1.2989999999999999</v>
      </c>
      <c r="AR92" s="2">
        <v>1.0660000000000001</v>
      </c>
      <c r="AS92" s="2">
        <v>17.5</v>
      </c>
      <c r="AT92" s="2">
        <v>90.9</v>
      </c>
      <c r="AU92" s="2">
        <v>1.3839999999999999</v>
      </c>
      <c r="AV92" s="2">
        <v>14.68</v>
      </c>
      <c r="AW92" s="2">
        <v>0.17199999999999999</v>
      </c>
      <c r="AX92" s="2">
        <v>0.14199999999999999</v>
      </c>
      <c r="AY92" s="2">
        <v>0.68600000000000005</v>
      </c>
      <c r="AZ92" s="2">
        <v>0.76</v>
      </c>
      <c r="BA92" s="2">
        <v>1.1200000000000001</v>
      </c>
      <c r="BB92" s="2">
        <v>4.0999999999999996</v>
      </c>
      <c r="BC92" s="2">
        <v>44</v>
      </c>
      <c r="BD92" s="2">
        <v>2.2999999999999998</v>
      </c>
      <c r="BE92" s="2">
        <v>4.8</v>
      </c>
      <c r="BF92" s="2">
        <v>69</v>
      </c>
      <c r="BG92" s="2">
        <v>71</v>
      </c>
      <c r="BH92" s="2">
        <v>226</v>
      </c>
      <c r="BI92" s="2">
        <v>57</v>
      </c>
      <c r="BJ92" s="2">
        <v>22</v>
      </c>
      <c r="BK92" s="2">
        <v>13.9</v>
      </c>
      <c r="BL92" s="2">
        <v>7.9</v>
      </c>
      <c r="BM92" s="2">
        <v>0.7</v>
      </c>
      <c r="BN92" s="2">
        <v>0</v>
      </c>
      <c r="BO92" s="2">
        <v>0.18</v>
      </c>
      <c r="BP92" s="2">
        <v>1.1299999999999999</v>
      </c>
      <c r="BQ92" s="2">
        <v>0.47</v>
      </c>
    </row>
    <row r="93" spans="1:69" x14ac:dyDescent="0.2">
      <c r="A93">
        <v>10</v>
      </c>
      <c r="B93">
        <v>121</v>
      </c>
      <c r="C93" t="s">
        <v>19</v>
      </c>
      <c r="D93" t="s">
        <v>7</v>
      </c>
      <c r="E93">
        <v>4</v>
      </c>
      <c r="F93" s="2">
        <v>152.70151870601279</v>
      </c>
      <c r="G93" s="2">
        <v>164.65578484888798</v>
      </c>
      <c r="H93" s="2">
        <v>385.12221261884156</v>
      </c>
      <c r="I93" s="2">
        <v>367.24697110903975</v>
      </c>
      <c r="J93" s="2">
        <v>537.82373132485441</v>
      </c>
      <c r="K93" s="2">
        <v>531.90275595792775</v>
      </c>
      <c r="L93" s="2">
        <v>11.954266142875184</v>
      </c>
      <c r="M93" s="2">
        <v>-5.9209753669266547</v>
      </c>
      <c r="N93" s="2">
        <v>1.1375</v>
      </c>
      <c r="O93" s="2">
        <v>14.826999999999998</v>
      </c>
      <c r="P93" s="2">
        <v>0.69479999999999997</v>
      </c>
      <c r="Q93" s="2">
        <v>4.150660792951542</v>
      </c>
      <c r="R93" s="2" t="s">
        <v>14</v>
      </c>
      <c r="S93" s="2">
        <v>20.170999999999999</v>
      </c>
      <c r="T93" s="2">
        <v>57.91659324522761</v>
      </c>
      <c r="U93" s="2" t="s">
        <v>14</v>
      </c>
      <c r="V93" s="2" t="s">
        <v>14</v>
      </c>
      <c r="W93" s="2">
        <v>41.201454038179151</v>
      </c>
      <c r="X93" s="2">
        <v>20.8658</v>
      </c>
      <c r="Y93" s="2">
        <v>99.29</v>
      </c>
      <c r="Z93" s="2">
        <v>59.09</v>
      </c>
      <c r="AA93" s="2">
        <v>16.43</v>
      </c>
      <c r="AB93" s="2">
        <v>21.51</v>
      </c>
      <c r="AC93" s="2">
        <v>2.1</v>
      </c>
      <c r="AD93" s="2">
        <v>23.73</v>
      </c>
      <c r="AE93" s="2">
        <v>16.39</v>
      </c>
      <c r="AF93" s="2">
        <v>40.1</v>
      </c>
      <c r="AG93" s="2">
        <v>50.3</v>
      </c>
      <c r="AH93" s="2">
        <v>-10.199999999999999</v>
      </c>
      <c r="AI93" s="2">
        <v>52.82</v>
      </c>
      <c r="AJ93" s="2">
        <v>6.35</v>
      </c>
      <c r="AK93" s="2">
        <v>1.8480000000000001</v>
      </c>
      <c r="AL93" s="2">
        <v>0.873</v>
      </c>
      <c r="AM93" s="2">
        <v>0.53100000000000003</v>
      </c>
      <c r="AN93" s="2">
        <v>0.47199999999999998</v>
      </c>
      <c r="AO93" s="2">
        <v>1.613</v>
      </c>
      <c r="AP93" s="2">
        <v>0.40200000000000002</v>
      </c>
      <c r="AQ93" s="2">
        <v>1.2569999999999999</v>
      </c>
      <c r="AR93" s="2">
        <v>1.07</v>
      </c>
      <c r="AS93" s="2">
        <v>14.41</v>
      </c>
      <c r="AT93" s="2">
        <v>120.1</v>
      </c>
      <c r="AU93" s="2">
        <v>1.4670000000000001</v>
      </c>
      <c r="AV93" s="2">
        <v>20.420000000000002</v>
      </c>
      <c r="AW93" s="2">
        <v>0.222</v>
      </c>
      <c r="AX93" s="2">
        <v>0.13600000000000001</v>
      </c>
      <c r="AY93" s="2">
        <v>0.64200000000000002</v>
      </c>
      <c r="AZ93" s="2">
        <v>0.56000000000000005</v>
      </c>
      <c r="BA93" s="2">
        <v>1.1000000000000001</v>
      </c>
      <c r="BB93" s="2">
        <v>5.0999999999999996</v>
      </c>
      <c r="BC93" s="2">
        <v>61</v>
      </c>
      <c r="BD93" s="2">
        <v>2</v>
      </c>
      <c r="BE93" s="2">
        <v>5.0999999999999996</v>
      </c>
      <c r="BF93" s="2">
        <v>41</v>
      </c>
      <c r="BG93" s="2">
        <v>87</v>
      </c>
      <c r="BH93" s="2">
        <v>428</v>
      </c>
      <c r="BI93" s="2">
        <v>94</v>
      </c>
      <c r="BJ93" s="2">
        <v>23</v>
      </c>
      <c r="BK93" s="2">
        <v>15.1</v>
      </c>
      <c r="BL93" s="2">
        <v>8.1</v>
      </c>
      <c r="BM93" s="2">
        <v>1.5</v>
      </c>
      <c r="BN93" s="2">
        <v>0.1</v>
      </c>
      <c r="BO93" s="2">
        <v>0.22</v>
      </c>
      <c r="BP93" s="2">
        <v>2.14</v>
      </c>
      <c r="BQ93" s="2">
        <v>0.77</v>
      </c>
    </row>
    <row r="94" spans="1:69" x14ac:dyDescent="0.2">
      <c r="A94">
        <v>10</v>
      </c>
      <c r="B94">
        <v>131</v>
      </c>
      <c r="C94" t="s">
        <v>19</v>
      </c>
      <c r="D94" t="s">
        <v>5</v>
      </c>
      <c r="E94">
        <v>2</v>
      </c>
      <c r="F94" s="2">
        <v>224.4128755364805</v>
      </c>
      <c r="G94" s="2">
        <v>157.17333333333309</v>
      </c>
      <c r="H94" s="2">
        <v>723.65021459227478</v>
      </c>
      <c r="I94" s="2">
        <v>849.48444444444453</v>
      </c>
      <c r="J94" s="2">
        <v>948.06309012875522</v>
      </c>
      <c r="K94" s="2">
        <v>1006.6577777777776</v>
      </c>
      <c r="L94" s="2">
        <v>-67.239542203147408</v>
      </c>
      <c r="M94" s="2">
        <v>58.594687649022376</v>
      </c>
      <c r="N94" s="2">
        <v>2.6533000000000002</v>
      </c>
      <c r="O94" s="2">
        <v>58.936</v>
      </c>
      <c r="P94" s="2">
        <v>0.81979999999999997</v>
      </c>
      <c r="Q94" s="2">
        <v>2.355520504731861</v>
      </c>
      <c r="R94" s="2">
        <v>1.6401197604790423</v>
      </c>
      <c r="S94" s="2">
        <v>26.491599999999998</v>
      </c>
      <c r="T94" s="2">
        <v>97.144479495268129</v>
      </c>
      <c r="U94" s="2">
        <v>87.837924151696626</v>
      </c>
      <c r="V94" s="2">
        <v>62.166643912175665</v>
      </c>
      <c r="W94" s="2">
        <v>72.18859999999998</v>
      </c>
      <c r="X94" s="2">
        <v>27.311399999999999</v>
      </c>
      <c r="Y94" s="2">
        <v>86.93</v>
      </c>
      <c r="Z94" s="2">
        <v>29.54</v>
      </c>
      <c r="AA94" s="2">
        <v>16.72</v>
      </c>
      <c r="AB94" s="2">
        <v>34.33</v>
      </c>
      <c r="AC94" s="2">
        <v>5.9</v>
      </c>
      <c r="AD94" s="2">
        <v>26.64</v>
      </c>
      <c r="AE94" s="2">
        <v>18.739999999999998</v>
      </c>
      <c r="AF94" s="2">
        <v>45.4</v>
      </c>
      <c r="AG94" s="2">
        <v>44</v>
      </c>
      <c r="AH94" s="2">
        <v>1.4</v>
      </c>
      <c r="AI94" s="2">
        <v>37.69</v>
      </c>
      <c r="AJ94" s="2">
        <v>3.86</v>
      </c>
      <c r="AK94" s="2">
        <v>1.159</v>
      </c>
      <c r="AL94" s="2">
        <v>1.083</v>
      </c>
      <c r="AM94" s="2">
        <v>0.98099999999999998</v>
      </c>
      <c r="AN94" s="2">
        <v>0.93400000000000005</v>
      </c>
      <c r="AO94" s="2">
        <v>1.2549999999999999</v>
      </c>
      <c r="AP94" s="2">
        <v>0.90200000000000002</v>
      </c>
      <c r="AQ94" s="2">
        <v>1.1000000000000001</v>
      </c>
      <c r="AR94" s="2">
        <v>1.7450000000000001</v>
      </c>
      <c r="AS94" s="2">
        <v>39.200000000000003</v>
      </c>
      <c r="AT94" s="2">
        <v>251.7</v>
      </c>
      <c r="AU94" s="2">
        <v>1.1319999999999999</v>
      </c>
      <c r="AV94" s="2">
        <v>35.39</v>
      </c>
      <c r="AW94" s="2">
        <v>8.7999999999999995E-2</v>
      </c>
      <c r="AX94" s="2">
        <v>0.152</v>
      </c>
      <c r="AY94" s="2">
        <v>0.76</v>
      </c>
      <c r="AZ94" s="2">
        <v>1.25</v>
      </c>
      <c r="BA94" s="2">
        <v>0.92</v>
      </c>
      <c r="BB94" s="2">
        <v>6.5</v>
      </c>
      <c r="BC94" s="2">
        <v>28</v>
      </c>
      <c r="BD94" s="2">
        <v>4.7</v>
      </c>
      <c r="BE94" s="2">
        <v>4.2</v>
      </c>
      <c r="BF94" s="2">
        <v>20</v>
      </c>
      <c r="BG94" s="2">
        <v>63</v>
      </c>
      <c r="BH94" s="2">
        <v>223</v>
      </c>
      <c r="BI94" s="2">
        <v>61</v>
      </c>
      <c r="BJ94" s="2">
        <v>21</v>
      </c>
      <c r="BK94" s="2">
        <v>31</v>
      </c>
      <c r="BL94" s="2">
        <v>2.1</v>
      </c>
      <c r="BM94" s="2">
        <v>0.7</v>
      </c>
      <c r="BN94" s="2">
        <v>0</v>
      </c>
      <c r="BO94" s="2">
        <v>0.16</v>
      </c>
      <c r="BP94" s="2">
        <v>1.1200000000000001</v>
      </c>
      <c r="BQ94" s="2">
        <v>0.5</v>
      </c>
    </row>
    <row r="95" spans="1:69" x14ac:dyDescent="0.2">
      <c r="A95">
        <v>20</v>
      </c>
      <c r="B95">
        <v>134</v>
      </c>
      <c r="C95" t="s">
        <v>19</v>
      </c>
      <c r="D95" t="s">
        <v>5</v>
      </c>
      <c r="E95">
        <v>3</v>
      </c>
      <c r="F95" s="2">
        <v>208.50564568462011</v>
      </c>
      <c r="G95" s="2">
        <v>357.0837855724684</v>
      </c>
      <c r="H95" s="2">
        <v>857.62699545749513</v>
      </c>
      <c r="I95" s="2">
        <v>1043.1661151555261</v>
      </c>
      <c r="J95" s="2">
        <v>1066.1326411421153</v>
      </c>
      <c r="K95" s="2">
        <v>1400.2499007279944</v>
      </c>
      <c r="L95" s="2">
        <v>148.57813988784829</v>
      </c>
      <c r="M95" s="2">
        <v>334.11725958587908</v>
      </c>
      <c r="N95" s="2">
        <v>5.8186999999999998</v>
      </c>
      <c r="O95" s="2">
        <v>113.28</v>
      </c>
      <c r="P95" s="2">
        <v>1.3268998793727385</v>
      </c>
      <c r="Q95" s="2">
        <v>5.8874000000000004</v>
      </c>
      <c r="R95" s="2">
        <v>5.6881999999999993</v>
      </c>
      <c r="S95" s="2">
        <v>86.582870928829934</v>
      </c>
      <c r="T95" s="2">
        <v>101.11779999999999</v>
      </c>
      <c r="U95" s="2">
        <v>157.1206</v>
      </c>
      <c r="V95" s="2">
        <v>74.899029191797325</v>
      </c>
      <c r="W95" s="2">
        <v>19.095429191797322</v>
      </c>
      <c r="X95" s="2">
        <v>87.909770808202666</v>
      </c>
      <c r="Y95" s="2">
        <v>63.78</v>
      </c>
      <c r="Z95" s="2">
        <v>33.22</v>
      </c>
      <c r="AA95" s="2">
        <v>17.350000000000001</v>
      </c>
      <c r="AB95" s="2">
        <v>11.25</v>
      </c>
      <c r="AC95" s="2">
        <v>1.71</v>
      </c>
      <c r="AD95" s="2">
        <v>19.239999999999998</v>
      </c>
      <c r="AE95" s="2">
        <v>20.85</v>
      </c>
      <c r="AF95" s="2">
        <v>40.1</v>
      </c>
      <c r="AG95" s="2">
        <v>32.299999999999997</v>
      </c>
      <c r="AH95" s="2">
        <v>7.8</v>
      </c>
      <c r="AI95" s="2">
        <v>19.93</v>
      </c>
      <c r="AJ95" s="2">
        <v>3.76</v>
      </c>
      <c r="AK95" s="2">
        <v>1.6950000000000001</v>
      </c>
      <c r="AL95" s="2">
        <v>1.121</v>
      </c>
      <c r="AM95" s="2">
        <v>0.79300000000000004</v>
      </c>
      <c r="AN95" s="2">
        <v>0.66100000000000003</v>
      </c>
      <c r="AO95" s="2">
        <v>1.9</v>
      </c>
      <c r="AP95" s="2">
        <v>0.57899999999999996</v>
      </c>
      <c r="AQ95" s="2">
        <v>0.80700000000000005</v>
      </c>
      <c r="AR95" s="2">
        <v>3.4140000000000001</v>
      </c>
      <c r="AS95" s="2">
        <v>72.03</v>
      </c>
      <c r="AT95" s="2">
        <v>324</v>
      </c>
      <c r="AU95" s="2">
        <v>0.80300000000000005</v>
      </c>
      <c r="AV95" s="2">
        <v>5.8</v>
      </c>
      <c r="AW95" s="2">
        <v>0.35699999999999998</v>
      </c>
      <c r="AX95" s="2">
        <v>0.14799999999999999</v>
      </c>
      <c r="AY95" s="2">
        <v>0.495</v>
      </c>
      <c r="AZ95" s="2">
        <v>1.31</v>
      </c>
      <c r="BA95" s="2">
        <v>0.6</v>
      </c>
      <c r="BB95" s="2">
        <v>8.4</v>
      </c>
      <c r="BC95" s="2">
        <v>30</v>
      </c>
      <c r="BD95" s="2">
        <v>5.9</v>
      </c>
      <c r="BE95" s="2">
        <v>3.9</v>
      </c>
      <c r="BF95" s="2">
        <v>17</v>
      </c>
      <c r="BG95" s="2">
        <v>141</v>
      </c>
      <c r="BH95" s="2">
        <v>278</v>
      </c>
      <c r="BI95" s="2">
        <v>94</v>
      </c>
      <c r="BJ95" s="2">
        <v>33</v>
      </c>
      <c r="BK95" s="2">
        <v>7.4</v>
      </c>
      <c r="BL95" s="2">
        <v>3.8</v>
      </c>
      <c r="BM95" s="2">
        <v>2.9</v>
      </c>
      <c r="BN95" s="2">
        <v>0</v>
      </c>
      <c r="BO95" s="2">
        <v>0.36</v>
      </c>
      <c r="BP95" s="2">
        <v>1.39</v>
      </c>
      <c r="BQ95" s="2">
        <v>0.77</v>
      </c>
    </row>
    <row r="96" spans="1:69" x14ac:dyDescent="0.2">
      <c r="A96">
        <v>20</v>
      </c>
      <c r="B96">
        <v>138</v>
      </c>
      <c r="C96" t="s">
        <v>19</v>
      </c>
      <c r="D96" t="s">
        <v>3</v>
      </c>
      <c r="E96">
        <v>3</v>
      </c>
      <c r="F96" s="2">
        <v>399.02961918194626</v>
      </c>
      <c r="G96" s="2">
        <v>321.74090202177285</v>
      </c>
      <c r="H96" s="2">
        <v>599.96953455571224</v>
      </c>
      <c r="I96" s="2">
        <v>596.34027993779148</v>
      </c>
      <c r="J96" s="2">
        <v>998.9991537376585</v>
      </c>
      <c r="K96" s="2">
        <v>918.08118195956433</v>
      </c>
      <c r="L96" s="2">
        <v>-77.288717160173405</v>
      </c>
      <c r="M96" s="2">
        <v>-80.91797177809417</v>
      </c>
      <c r="N96" s="2">
        <v>2.3900999999999999</v>
      </c>
      <c r="O96" s="2">
        <v>24.748000000000001</v>
      </c>
      <c r="P96" s="2">
        <v>0.58799999999999997</v>
      </c>
      <c r="Q96" s="2">
        <v>34.537400000000005</v>
      </c>
      <c r="R96" s="2">
        <v>53.4482</v>
      </c>
      <c r="S96" s="2">
        <v>36.214799999999997</v>
      </c>
      <c r="T96" s="2">
        <v>104.35539999999999</v>
      </c>
      <c r="U96" s="2">
        <v>73.700199999999995</v>
      </c>
      <c r="V96" s="2">
        <v>90.34559999999999</v>
      </c>
      <c r="W96" s="2">
        <v>102.09</v>
      </c>
      <c r="X96" s="2">
        <v>36.802799999999998</v>
      </c>
      <c r="Y96" s="2">
        <v>90.43</v>
      </c>
      <c r="Z96" s="2">
        <v>37.58</v>
      </c>
      <c r="AA96" s="2">
        <v>34.229999999999997</v>
      </c>
      <c r="AB96" s="2">
        <v>17.010000000000002</v>
      </c>
      <c r="AC96" s="2">
        <v>1.34</v>
      </c>
      <c r="AD96" s="2">
        <v>22.82</v>
      </c>
      <c r="AE96" s="2">
        <v>45.92</v>
      </c>
      <c r="AF96" s="2">
        <v>68.7</v>
      </c>
      <c r="AG96" s="2">
        <v>45.8</v>
      </c>
      <c r="AH96" s="2">
        <v>23</v>
      </c>
      <c r="AI96" s="2">
        <v>18.72</v>
      </c>
      <c r="AJ96" s="2">
        <v>2.97</v>
      </c>
      <c r="AK96" s="2">
        <v>1.46</v>
      </c>
      <c r="AL96" s="2">
        <v>1.075</v>
      </c>
      <c r="AM96" s="2">
        <v>0.95699999999999996</v>
      </c>
      <c r="AN96" s="2">
        <v>0.73599999999999999</v>
      </c>
      <c r="AO96" s="2">
        <v>1.57</v>
      </c>
      <c r="AP96" s="2">
        <v>0.60699999999999998</v>
      </c>
      <c r="AQ96" s="2">
        <v>1.145</v>
      </c>
      <c r="AR96" s="2">
        <v>2.419</v>
      </c>
      <c r="AS96" s="2">
        <v>27.18</v>
      </c>
      <c r="AT96" s="2">
        <v>290.2</v>
      </c>
      <c r="AU96" s="2">
        <v>1.2989999999999999</v>
      </c>
      <c r="AV96" s="2">
        <v>4.9000000000000004</v>
      </c>
      <c r="AW96" s="2">
        <v>0.13400000000000001</v>
      </c>
      <c r="AX96" s="2">
        <v>0.112</v>
      </c>
      <c r="AY96" s="2">
        <v>0.754</v>
      </c>
      <c r="AZ96" s="2">
        <v>0.46</v>
      </c>
      <c r="BA96" s="2">
        <v>0.98</v>
      </c>
      <c r="BB96" s="2">
        <v>7.6</v>
      </c>
      <c r="BC96" s="2">
        <v>82</v>
      </c>
      <c r="BD96" s="2">
        <v>1.4</v>
      </c>
      <c r="BE96" s="2">
        <v>5.8</v>
      </c>
      <c r="BF96" s="2">
        <v>111</v>
      </c>
      <c r="BG96" s="2">
        <v>145</v>
      </c>
      <c r="BH96" s="2">
        <v>886</v>
      </c>
      <c r="BI96" s="2">
        <v>177</v>
      </c>
      <c r="BJ96" s="2">
        <v>13</v>
      </c>
      <c r="BK96" s="2">
        <v>21.2</v>
      </c>
      <c r="BL96" s="2">
        <v>16.8</v>
      </c>
      <c r="BM96" s="2">
        <v>5.2</v>
      </c>
      <c r="BN96" s="2">
        <v>0</v>
      </c>
      <c r="BO96" s="2">
        <v>0.37</v>
      </c>
      <c r="BP96" s="2">
        <v>4.43</v>
      </c>
      <c r="BQ96" s="2">
        <v>1.46</v>
      </c>
    </row>
    <row r="97" spans="1:69" x14ac:dyDescent="0.2">
      <c r="A97">
        <v>20</v>
      </c>
      <c r="B97">
        <v>148</v>
      </c>
      <c r="C97" t="s">
        <v>19</v>
      </c>
      <c r="D97" t="s">
        <v>0</v>
      </c>
      <c r="E97">
        <v>3</v>
      </c>
      <c r="F97" s="2">
        <v>197.56765238382584</v>
      </c>
      <c r="G97" s="2">
        <v>697.74283170080128</v>
      </c>
      <c r="H97" s="2">
        <v>1050.0354858177427</v>
      </c>
      <c r="I97" s="2">
        <v>685.59643811219928</v>
      </c>
      <c r="J97" s="2">
        <v>1247.6031382015685</v>
      </c>
      <c r="K97" s="2">
        <v>1383.3392698130006</v>
      </c>
      <c r="L97" s="2">
        <v>500.17517931697546</v>
      </c>
      <c r="M97" s="2">
        <v>135.73613161143203</v>
      </c>
      <c r="N97" s="2">
        <v>4.6391</v>
      </c>
      <c r="O97" s="2">
        <v>46.772999999999996</v>
      </c>
      <c r="P97" s="2">
        <v>0.80620000000000003</v>
      </c>
      <c r="Q97" s="2">
        <v>54.424999999999997</v>
      </c>
      <c r="R97" s="2">
        <v>64.721000000000004</v>
      </c>
      <c r="S97" s="2">
        <v>46.223199999999999</v>
      </c>
      <c r="T97" s="2">
        <v>191.04580000000001</v>
      </c>
      <c r="U97" s="2">
        <v>170.43459999999999</v>
      </c>
      <c r="V97" s="2">
        <v>188.12619999999998</v>
      </c>
      <c r="W97" s="2">
        <v>198.44139999999999</v>
      </c>
      <c r="X97" s="2">
        <v>47.029399999999995</v>
      </c>
      <c r="Y97" s="2">
        <v>76.44</v>
      </c>
      <c r="Z97" s="2">
        <v>35</v>
      </c>
      <c r="AA97" s="2">
        <v>24.82</v>
      </c>
      <c r="AB97" s="2">
        <v>14.47</v>
      </c>
      <c r="AC97" s="2">
        <v>1.83</v>
      </c>
      <c r="AD97" s="2">
        <v>31.64</v>
      </c>
      <c r="AE97" s="2">
        <v>28.85</v>
      </c>
      <c r="AF97" s="2">
        <v>60.5</v>
      </c>
      <c r="AG97" s="2">
        <v>38.700000000000003</v>
      </c>
      <c r="AH97" s="2">
        <v>21.8</v>
      </c>
      <c r="AI97" s="2">
        <v>13.84</v>
      </c>
      <c r="AJ97" s="2">
        <v>2.11</v>
      </c>
      <c r="AK97" s="2">
        <v>1.5489999999999999</v>
      </c>
      <c r="AL97" s="2">
        <v>1.454</v>
      </c>
      <c r="AM97" s="2">
        <v>1.0109999999999999</v>
      </c>
      <c r="AN97" s="2">
        <v>0.93899999999999995</v>
      </c>
      <c r="AO97" s="2">
        <v>2.2519999999999998</v>
      </c>
      <c r="AP97" s="2">
        <v>0.90400000000000003</v>
      </c>
      <c r="AQ97" s="2">
        <v>0.96799999999999997</v>
      </c>
      <c r="AR97" s="2">
        <v>4.1340000000000003</v>
      </c>
      <c r="AS97" s="2">
        <v>44.7</v>
      </c>
      <c r="AT97" s="2">
        <v>547.79999999999995</v>
      </c>
      <c r="AU97" s="2">
        <v>0.99199999999999999</v>
      </c>
      <c r="AV97" s="2">
        <v>1.68</v>
      </c>
      <c r="AW97" s="2">
        <v>0.161</v>
      </c>
      <c r="AX97" s="2">
        <v>0.17100000000000001</v>
      </c>
      <c r="AY97" s="2">
        <v>0.66900000000000004</v>
      </c>
      <c r="AZ97" s="2">
        <v>0.66</v>
      </c>
      <c r="BA97" s="2">
        <v>0.75</v>
      </c>
      <c r="BB97" s="2">
        <v>9.6999999999999993</v>
      </c>
      <c r="BC97" s="2">
        <v>83</v>
      </c>
      <c r="BD97" s="2">
        <v>1.7</v>
      </c>
      <c r="BE97" s="2">
        <v>5.7</v>
      </c>
      <c r="BF97" s="2">
        <v>144</v>
      </c>
      <c r="BG97" s="2">
        <v>140</v>
      </c>
      <c r="BH97" s="2">
        <v>1177</v>
      </c>
      <c r="BI97" s="2">
        <v>219</v>
      </c>
      <c r="BJ97" s="2">
        <v>19</v>
      </c>
      <c r="BK97" s="2">
        <v>40.1</v>
      </c>
      <c r="BL97" s="2">
        <v>20.100000000000001</v>
      </c>
      <c r="BM97" s="2">
        <v>1.8</v>
      </c>
      <c r="BN97" s="2">
        <v>0.1</v>
      </c>
      <c r="BO97" s="2">
        <v>0.36</v>
      </c>
      <c r="BP97" s="2">
        <v>5.89</v>
      </c>
      <c r="BQ97" s="2">
        <v>1.8</v>
      </c>
    </row>
    <row r="98" spans="1:69" x14ac:dyDescent="0.2">
      <c r="A98">
        <v>20</v>
      </c>
      <c r="B98">
        <v>160</v>
      </c>
      <c r="C98" t="s">
        <v>19</v>
      </c>
      <c r="D98" t="s">
        <v>3</v>
      </c>
      <c r="E98">
        <v>4</v>
      </c>
      <c r="F98" s="2">
        <v>196.64007060900252</v>
      </c>
      <c r="G98" s="2">
        <v>131.06075388026605</v>
      </c>
      <c r="H98" s="2">
        <v>393.28014121800527</v>
      </c>
      <c r="I98" s="2">
        <v>262.1215077605321</v>
      </c>
      <c r="J98" s="2">
        <v>589.92021182700773</v>
      </c>
      <c r="K98" s="2">
        <v>393.18226164079817</v>
      </c>
      <c r="L98" s="2">
        <v>-65.579316728736472</v>
      </c>
      <c r="M98" s="2">
        <v>-196.73795018620956</v>
      </c>
      <c r="N98" s="2">
        <v>0.93189999999999995</v>
      </c>
      <c r="O98" s="2">
        <v>9.6282999999999994</v>
      </c>
      <c r="P98" s="2">
        <v>0.43320000000000003</v>
      </c>
      <c r="Q98" s="2">
        <v>25.1114</v>
      </c>
      <c r="R98" s="2">
        <v>25.325000000000003</v>
      </c>
      <c r="S98" s="2">
        <v>8.0877999999999997</v>
      </c>
      <c r="T98" s="2">
        <v>23.244999999999997</v>
      </c>
      <c r="U98" s="2">
        <v>15.495400000000002</v>
      </c>
      <c r="V98" s="2">
        <v>32.299400000000006</v>
      </c>
      <c r="W98" s="2">
        <v>39.835399999999993</v>
      </c>
      <c r="X98" s="2">
        <v>8.520999999999999</v>
      </c>
      <c r="Y98" s="2">
        <v>103.8</v>
      </c>
      <c r="Z98" s="2">
        <v>30.62</v>
      </c>
      <c r="AA98" s="2">
        <v>39.799999999999997</v>
      </c>
      <c r="AB98" s="2">
        <v>30.57</v>
      </c>
      <c r="AC98" s="2">
        <v>2.5499999999999998</v>
      </c>
      <c r="AD98" s="2">
        <v>21.95</v>
      </c>
      <c r="AE98" s="2">
        <v>49.65</v>
      </c>
      <c r="AF98" s="2">
        <v>71.599999999999994</v>
      </c>
      <c r="AG98" s="2">
        <v>52.6</v>
      </c>
      <c r="AH98" s="2">
        <v>19</v>
      </c>
      <c r="AI98" s="2">
        <v>28.13</v>
      </c>
      <c r="AJ98" s="2">
        <v>4.07</v>
      </c>
      <c r="AK98" s="2">
        <v>1.133</v>
      </c>
      <c r="AL98" s="2">
        <v>0.94899999999999995</v>
      </c>
      <c r="AM98" s="2">
        <v>1.0169999999999999</v>
      </c>
      <c r="AN98" s="2">
        <v>0.83799999999999997</v>
      </c>
      <c r="AO98" s="2">
        <v>1.0760000000000001</v>
      </c>
      <c r="AP98" s="2">
        <v>0.71699999999999997</v>
      </c>
      <c r="AQ98" s="2">
        <v>1.3140000000000001</v>
      </c>
      <c r="AR98" s="2">
        <v>0.93700000000000006</v>
      </c>
      <c r="AS98" s="2">
        <v>10.75</v>
      </c>
      <c r="AT98" s="2">
        <v>214.8</v>
      </c>
      <c r="AU98" s="2">
        <v>1.46</v>
      </c>
      <c r="AV98" s="2">
        <v>2.94</v>
      </c>
      <c r="AW98" s="2">
        <v>8.8999999999999996E-2</v>
      </c>
      <c r="AX98" s="2">
        <v>0.11700000000000001</v>
      </c>
      <c r="AY98" s="2">
        <v>0.79400000000000004</v>
      </c>
      <c r="AZ98" s="2">
        <v>0.32</v>
      </c>
      <c r="BA98" s="2">
        <v>1.1499999999999999</v>
      </c>
      <c r="BB98" s="2">
        <v>6.1</v>
      </c>
      <c r="BC98" s="2">
        <v>92</v>
      </c>
      <c r="BD98" s="2">
        <v>0.5</v>
      </c>
      <c r="BE98" s="2">
        <v>6.6</v>
      </c>
      <c r="BF98" s="2">
        <v>229</v>
      </c>
      <c r="BG98" s="2">
        <v>178</v>
      </c>
      <c r="BH98" s="2">
        <v>685</v>
      </c>
      <c r="BI98" s="2">
        <v>207</v>
      </c>
      <c r="BJ98" s="2">
        <v>11</v>
      </c>
      <c r="BK98" s="2">
        <v>58.8</v>
      </c>
      <c r="BL98" s="2">
        <v>15.1</v>
      </c>
      <c r="BM98" s="2">
        <v>12.9</v>
      </c>
      <c r="BN98" s="2">
        <v>0.1</v>
      </c>
      <c r="BO98" s="2">
        <v>0.46</v>
      </c>
      <c r="BP98" s="2">
        <v>3.43</v>
      </c>
      <c r="BQ98" s="2">
        <v>1.7</v>
      </c>
    </row>
    <row r="99" spans="1:69" x14ac:dyDescent="0.2">
      <c r="A99">
        <v>20</v>
      </c>
      <c r="B99">
        <v>211</v>
      </c>
      <c r="C99" t="s">
        <v>19</v>
      </c>
      <c r="D99" t="s">
        <v>0</v>
      </c>
      <c r="E99">
        <v>4</v>
      </c>
      <c r="F99" s="2">
        <v>461.26956521739112</v>
      </c>
      <c r="G99" s="2">
        <v>573.63590780428615</v>
      </c>
      <c r="H99" s="2">
        <v>707.99514661273997</v>
      </c>
      <c r="I99" s="2">
        <v>770.97646583097435</v>
      </c>
      <c r="J99" s="2">
        <v>1169.2647118301311</v>
      </c>
      <c r="K99" s="2">
        <v>1344.6123736352606</v>
      </c>
      <c r="L99" s="2">
        <v>112.36634258689503</v>
      </c>
      <c r="M99" s="2">
        <v>175.34766180512952</v>
      </c>
      <c r="N99" s="2">
        <v>3.6412</v>
      </c>
      <c r="O99" s="2">
        <v>41.593000000000004</v>
      </c>
      <c r="P99" s="2">
        <v>0.46860000000000002</v>
      </c>
      <c r="Q99" s="2">
        <v>45.420200000000001</v>
      </c>
      <c r="R99" s="2">
        <v>73.682600000000008</v>
      </c>
      <c r="S99" s="2">
        <v>27.069600000000001</v>
      </c>
      <c r="T99" s="2">
        <v>85.582599999999999</v>
      </c>
      <c r="U99" s="2">
        <v>74.499399999999994</v>
      </c>
      <c r="V99" s="2">
        <v>120.64380000000001</v>
      </c>
      <c r="W99" s="2">
        <v>103.4646</v>
      </c>
      <c r="X99" s="2">
        <v>27.5382</v>
      </c>
      <c r="Y99" s="2">
        <v>85.95</v>
      </c>
      <c r="Z99" s="2">
        <v>29.66</v>
      </c>
      <c r="AA99" s="2">
        <v>31.86</v>
      </c>
      <c r="AB99" s="2">
        <v>21.58</v>
      </c>
      <c r="AC99" s="2">
        <v>2.52</v>
      </c>
      <c r="AD99" s="2">
        <v>25.15</v>
      </c>
      <c r="AE99" s="2">
        <v>37.32</v>
      </c>
      <c r="AF99" s="2">
        <v>62.5</v>
      </c>
      <c r="AG99" s="2">
        <v>43.5</v>
      </c>
      <c r="AH99" s="2">
        <v>19</v>
      </c>
      <c r="AI99" s="2">
        <v>20.94</v>
      </c>
      <c r="AJ99" s="2">
        <v>2.54</v>
      </c>
      <c r="AK99" s="2">
        <v>1.2629999999999999</v>
      </c>
      <c r="AL99" s="2">
        <v>1.151</v>
      </c>
      <c r="AM99" s="2">
        <v>1.0149999999999999</v>
      </c>
      <c r="AN99" s="2">
        <v>0.91100000000000003</v>
      </c>
      <c r="AO99" s="2">
        <v>1.4530000000000001</v>
      </c>
      <c r="AP99" s="2">
        <v>0.84799999999999998</v>
      </c>
      <c r="AQ99" s="2">
        <v>1.0880000000000001</v>
      </c>
      <c r="AR99" s="2">
        <v>3.234</v>
      </c>
      <c r="AS99" s="2">
        <v>40.68</v>
      </c>
      <c r="AT99" s="2">
        <v>397</v>
      </c>
      <c r="AU99" s="2">
        <v>1.115</v>
      </c>
      <c r="AV99" s="2">
        <v>7.25</v>
      </c>
      <c r="AW99" s="2">
        <v>9.0999999999999998E-2</v>
      </c>
      <c r="AX99" s="2">
        <v>0.16</v>
      </c>
      <c r="AY99" s="2">
        <v>0.749</v>
      </c>
      <c r="AZ99" s="2">
        <v>0.81</v>
      </c>
      <c r="BA99" s="2">
        <v>0.86</v>
      </c>
      <c r="BB99" s="2">
        <v>11.3</v>
      </c>
      <c r="BC99" s="2">
        <v>88</v>
      </c>
      <c r="BD99" s="2">
        <v>1.4</v>
      </c>
      <c r="BE99" s="2">
        <v>6.2</v>
      </c>
      <c r="BF99" s="2">
        <v>154</v>
      </c>
      <c r="BG99" s="2">
        <v>197</v>
      </c>
      <c r="BH99" s="2">
        <v>1243</v>
      </c>
      <c r="BI99" s="2">
        <v>394</v>
      </c>
      <c r="BJ99" s="2">
        <v>17</v>
      </c>
      <c r="BK99" s="2">
        <v>24.5</v>
      </c>
      <c r="BL99" s="2">
        <v>13.5</v>
      </c>
      <c r="BM99" s="2">
        <v>1.4</v>
      </c>
      <c r="BN99" s="2">
        <v>0</v>
      </c>
      <c r="BO99" s="2">
        <v>0.5</v>
      </c>
      <c r="BP99" s="2">
        <v>6.22</v>
      </c>
      <c r="BQ99" s="2">
        <v>3.24</v>
      </c>
    </row>
    <row r="100" spans="1:69" x14ac:dyDescent="0.2">
      <c r="A100">
        <v>20</v>
      </c>
      <c r="B100">
        <v>277</v>
      </c>
      <c r="C100" t="s">
        <v>19</v>
      </c>
      <c r="D100" t="s">
        <v>3</v>
      </c>
      <c r="E100">
        <v>1</v>
      </c>
      <c r="F100" s="2">
        <v>108.45476451259569</v>
      </c>
      <c r="G100" s="2">
        <v>133.45682837342008</v>
      </c>
      <c r="H100" s="2">
        <v>193.66922234392115</v>
      </c>
      <c r="I100" s="2">
        <v>249.61369751324904</v>
      </c>
      <c r="J100" s="2">
        <v>302.12398685651681</v>
      </c>
      <c r="K100" s="2">
        <v>383.07052588666909</v>
      </c>
      <c r="L100" s="2">
        <v>25.002063860824393</v>
      </c>
      <c r="M100" s="2">
        <v>80.94653903015228</v>
      </c>
      <c r="N100" s="2">
        <v>0.80320000000000003</v>
      </c>
      <c r="O100" s="2">
        <v>9.9436</v>
      </c>
      <c r="P100" s="2">
        <v>0.47</v>
      </c>
      <c r="Q100" s="2">
        <v>5.6594000000000007</v>
      </c>
      <c r="R100" s="2">
        <v>36.632600000000004</v>
      </c>
      <c r="S100" s="2">
        <v>20.261199999999999</v>
      </c>
      <c r="T100" s="2">
        <v>40.304199999999994</v>
      </c>
      <c r="U100" s="2">
        <v>12.583</v>
      </c>
      <c r="V100" s="2">
        <v>28.484400000000004</v>
      </c>
      <c r="W100" s="2">
        <v>25.232399999999995</v>
      </c>
      <c r="X100" s="2">
        <v>20.731199999999998</v>
      </c>
      <c r="Y100" s="2">
        <v>105.67</v>
      </c>
      <c r="Z100" s="2">
        <v>49.95</v>
      </c>
      <c r="AA100" s="2">
        <v>29.6</v>
      </c>
      <c r="AB100" s="2">
        <v>21.54</v>
      </c>
      <c r="AC100" s="2">
        <v>4.24</v>
      </c>
      <c r="AD100" s="2">
        <v>20.38</v>
      </c>
      <c r="AE100" s="2">
        <v>48.97</v>
      </c>
      <c r="AF100" s="2">
        <v>69.400000000000006</v>
      </c>
      <c r="AG100" s="2">
        <v>53.5</v>
      </c>
      <c r="AH100" s="2">
        <v>15.8</v>
      </c>
      <c r="AI100" s="2">
        <v>30.3</v>
      </c>
      <c r="AJ100" s="2">
        <v>6.02</v>
      </c>
      <c r="AK100" s="2">
        <v>1.5660000000000001</v>
      </c>
      <c r="AL100" s="2">
        <v>0.88900000000000001</v>
      </c>
      <c r="AM100" s="2">
        <v>0.872</v>
      </c>
      <c r="AN100" s="2">
        <v>0.56799999999999995</v>
      </c>
      <c r="AO100" s="2">
        <v>1.393</v>
      </c>
      <c r="AP100" s="2">
        <v>0.40799999999999997</v>
      </c>
      <c r="AQ100" s="2">
        <v>1.3380000000000001</v>
      </c>
      <c r="AR100" s="2">
        <v>0.81399999999999995</v>
      </c>
      <c r="AS100" s="2">
        <v>10.44</v>
      </c>
      <c r="AT100" s="2">
        <v>100.7</v>
      </c>
      <c r="AU100" s="2">
        <v>1.5249999999999999</v>
      </c>
      <c r="AV100" s="2">
        <v>11.6</v>
      </c>
      <c r="AW100" s="2">
        <v>0.14000000000000001</v>
      </c>
      <c r="AX100" s="2">
        <v>0.11799999999999999</v>
      </c>
      <c r="AY100" s="2">
        <v>0.74299999999999999</v>
      </c>
      <c r="AZ100" s="2">
        <v>0.51</v>
      </c>
      <c r="BA100" s="2">
        <v>1.19</v>
      </c>
      <c r="BB100" s="2">
        <v>4.7</v>
      </c>
      <c r="BC100" s="2">
        <v>75</v>
      </c>
      <c r="BD100" s="2">
        <v>1.2</v>
      </c>
      <c r="BE100" s="2">
        <v>5.7</v>
      </c>
      <c r="BF100" s="2">
        <v>85</v>
      </c>
      <c r="BG100" s="2">
        <v>30</v>
      </c>
      <c r="BH100" s="2">
        <v>504</v>
      </c>
      <c r="BI100" s="2">
        <v>114</v>
      </c>
      <c r="BJ100" s="2">
        <v>14</v>
      </c>
      <c r="BK100" s="2">
        <v>14.9</v>
      </c>
      <c r="BL100" s="2">
        <v>10.9</v>
      </c>
      <c r="BM100" s="2">
        <v>3.9</v>
      </c>
      <c r="BN100" s="2">
        <v>0</v>
      </c>
      <c r="BO100" s="2">
        <v>0.08</v>
      </c>
      <c r="BP100" s="2">
        <v>2.52</v>
      </c>
      <c r="BQ100" s="2">
        <v>0.94</v>
      </c>
    </row>
    <row r="101" spans="1:69" x14ac:dyDescent="0.2">
      <c r="A101">
        <v>20</v>
      </c>
      <c r="B101">
        <v>279</v>
      </c>
      <c r="C101" t="s">
        <v>19</v>
      </c>
      <c r="D101" t="s">
        <v>5</v>
      </c>
      <c r="E101">
        <v>1</v>
      </c>
      <c r="F101" s="2">
        <v>205.83214854111392</v>
      </c>
      <c r="G101" s="2">
        <v>167.19591419816112</v>
      </c>
      <c r="H101" s="2">
        <v>1038.8091246684348</v>
      </c>
      <c r="I101" s="2">
        <v>1006.2717058222677</v>
      </c>
      <c r="J101" s="2">
        <v>1244.6412732095487</v>
      </c>
      <c r="K101" s="2">
        <v>1173.4676200204287</v>
      </c>
      <c r="L101" s="2">
        <v>-38.636234342952804</v>
      </c>
      <c r="M101" s="2">
        <v>-71.173653189119932</v>
      </c>
      <c r="N101" s="2">
        <v>2.3212999999999999</v>
      </c>
      <c r="O101" s="2">
        <v>59.629000000000005</v>
      </c>
      <c r="P101" s="2">
        <v>0.73860000000000003</v>
      </c>
      <c r="Q101" s="2">
        <v>4.7858000000000009</v>
      </c>
      <c r="R101" s="2">
        <v>6.1105999999999998</v>
      </c>
      <c r="S101" s="2">
        <v>26.198999999999998</v>
      </c>
      <c r="T101" s="2">
        <v>96.423399999999987</v>
      </c>
      <c r="U101" s="2">
        <v>70.609000000000009</v>
      </c>
      <c r="V101" s="2">
        <v>49.782000000000011</v>
      </c>
      <c r="W101" s="2">
        <v>74.271599999999978</v>
      </c>
      <c r="X101" s="2">
        <v>26.9376</v>
      </c>
      <c r="Y101" s="2">
        <v>78.78</v>
      </c>
      <c r="Z101" s="2">
        <v>36.97</v>
      </c>
      <c r="AA101" s="2">
        <v>16.62</v>
      </c>
      <c r="AB101" s="2">
        <v>19.96</v>
      </c>
      <c r="AC101" s="2">
        <v>4.71</v>
      </c>
      <c r="AD101" s="2">
        <v>34.24</v>
      </c>
      <c r="AE101" s="2">
        <v>17.77</v>
      </c>
      <c r="AF101" s="2">
        <v>52</v>
      </c>
      <c r="AG101" s="2">
        <v>39.9</v>
      </c>
      <c r="AH101" s="2">
        <v>12.1</v>
      </c>
      <c r="AI101" s="2">
        <v>23.84</v>
      </c>
      <c r="AJ101" s="2">
        <v>2.93</v>
      </c>
      <c r="AK101" s="2">
        <v>1.5209999999999999</v>
      </c>
      <c r="AL101" s="2">
        <v>1.4379999999999999</v>
      </c>
      <c r="AM101" s="2">
        <v>0.97099999999999997</v>
      </c>
      <c r="AN101" s="2">
        <v>0.94499999999999995</v>
      </c>
      <c r="AO101" s="2">
        <v>2.1869999999999998</v>
      </c>
      <c r="AP101" s="2">
        <v>0.92600000000000005</v>
      </c>
      <c r="AQ101" s="2">
        <v>0.997</v>
      </c>
      <c r="AR101" s="2">
        <v>1.7010000000000001</v>
      </c>
      <c r="AS101" s="2">
        <v>46.45</v>
      </c>
      <c r="AT101" s="2">
        <v>320.8</v>
      </c>
      <c r="AU101" s="2">
        <v>1.046</v>
      </c>
      <c r="AV101" s="2">
        <v>18.45</v>
      </c>
      <c r="AW101" s="2">
        <v>0.11899999999999999</v>
      </c>
      <c r="AX101" s="2">
        <v>0.123</v>
      </c>
      <c r="AY101" s="2">
        <v>0.75800000000000001</v>
      </c>
      <c r="AZ101" s="2">
        <v>1.1399999999999999</v>
      </c>
      <c r="BA101" s="2">
        <v>0.89</v>
      </c>
      <c r="BB101" s="2">
        <v>6.5</v>
      </c>
      <c r="BC101" s="2">
        <v>26</v>
      </c>
      <c r="BD101" s="2">
        <v>4.8</v>
      </c>
      <c r="BE101" s="2">
        <v>4</v>
      </c>
      <c r="BF101" s="2">
        <v>27</v>
      </c>
      <c r="BG101" s="2">
        <v>51</v>
      </c>
      <c r="BH101" s="2">
        <v>226</v>
      </c>
      <c r="BI101" s="2">
        <v>57</v>
      </c>
      <c r="BJ101" s="2">
        <v>20</v>
      </c>
      <c r="BK101" s="2">
        <v>9.9</v>
      </c>
      <c r="BL101" s="2">
        <v>1.7</v>
      </c>
      <c r="BM101" s="2">
        <v>0.8</v>
      </c>
      <c r="BN101" s="2">
        <v>0</v>
      </c>
      <c r="BO101" s="2">
        <v>0.13</v>
      </c>
      <c r="BP101" s="2">
        <v>1.1299999999999999</v>
      </c>
      <c r="BQ101" s="2">
        <v>0.47</v>
      </c>
    </row>
    <row r="102" spans="1:69" x14ac:dyDescent="0.2">
      <c r="A102">
        <v>20</v>
      </c>
      <c r="B102">
        <v>2</v>
      </c>
      <c r="C102" t="s">
        <v>21</v>
      </c>
      <c r="D102" t="s">
        <v>0</v>
      </c>
      <c r="E102">
        <v>1</v>
      </c>
      <c r="F102" s="2">
        <v>551.43482142857124</v>
      </c>
      <c r="G102" s="2">
        <v>608.40643240023803</v>
      </c>
      <c r="H102" s="2">
        <v>759.49151785714264</v>
      </c>
      <c r="I102" s="2">
        <v>926.14985110184625</v>
      </c>
      <c r="J102" s="2">
        <v>1310.9263392857138</v>
      </c>
      <c r="K102" s="2">
        <v>1534.5562835020842</v>
      </c>
      <c r="L102" s="2">
        <v>56.971610971666792</v>
      </c>
      <c r="M102" s="2">
        <v>223.6299442163704</v>
      </c>
      <c r="N102" s="2">
        <v>3.4881000000000002</v>
      </c>
      <c r="O102" s="2">
        <v>35.381999999999998</v>
      </c>
      <c r="P102" s="2">
        <v>1.0017999999999998</v>
      </c>
      <c r="Q102" s="2">
        <v>2.331</v>
      </c>
      <c r="R102" s="2">
        <v>2.0274000000000001</v>
      </c>
      <c r="S102" s="2">
        <v>34.786799999999999</v>
      </c>
      <c r="T102" s="2">
        <v>171.65479999999999</v>
      </c>
      <c r="U102" s="2">
        <v>178.06399999999999</v>
      </c>
      <c r="V102" s="2">
        <v>144.30279999999999</v>
      </c>
      <c r="W102" s="2">
        <v>138.19719999999998</v>
      </c>
      <c r="X102" s="2">
        <v>35.788600000000002</v>
      </c>
      <c r="Y102" s="2">
        <v>75.569999999999993</v>
      </c>
      <c r="Z102" s="2">
        <v>42.21</v>
      </c>
      <c r="AA102" s="2">
        <v>20.98</v>
      </c>
      <c r="AB102" s="2">
        <v>10.57</v>
      </c>
      <c r="AC102" s="2">
        <v>1.57</v>
      </c>
      <c r="AD102" s="2">
        <v>39.630000000000003</v>
      </c>
      <c r="AE102" s="2">
        <v>22.72</v>
      </c>
      <c r="AF102" s="2">
        <v>62.4</v>
      </c>
      <c r="AG102" s="2">
        <v>38.299999999999997</v>
      </c>
      <c r="AH102" s="2">
        <v>24.1</v>
      </c>
      <c r="AI102" s="2">
        <v>10.64</v>
      </c>
      <c r="AJ102" s="2">
        <v>2.58</v>
      </c>
      <c r="AK102" s="2">
        <v>1.8009999999999999</v>
      </c>
      <c r="AL102" s="2">
        <v>1.718</v>
      </c>
      <c r="AM102" s="2">
        <v>0.98699999999999999</v>
      </c>
      <c r="AN102" s="2">
        <v>0.95399999999999996</v>
      </c>
      <c r="AO102" s="2">
        <v>3.0939999999999999</v>
      </c>
      <c r="AP102" s="2">
        <v>0.93899999999999995</v>
      </c>
      <c r="AQ102" s="2">
        <v>0.95699999999999996</v>
      </c>
      <c r="AR102" s="2">
        <v>2.9020000000000001</v>
      </c>
      <c r="AS102" s="2">
        <v>31.43</v>
      </c>
      <c r="AT102" s="2">
        <v>606.6</v>
      </c>
      <c r="AU102" s="2">
        <v>1.0329999999999999</v>
      </c>
      <c r="AV102" s="2">
        <v>3.34</v>
      </c>
      <c r="AW102" s="2">
        <v>0.24399999999999999</v>
      </c>
      <c r="AX102" s="2">
        <v>0.249</v>
      </c>
      <c r="AY102" s="2">
        <v>0.50700000000000001</v>
      </c>
      <c r="AZ102" s="2">
        <v>0.41</v>
      </c>
      <c r="BA102" s="2">
        <v>0.87</v>
      </c>
      <c r="BB102" s="2">
        <v>9.1999999999999993</v>
      </c>
      <c r="BC102" s="2">
        <v>87</v>
      </c>
      <c r="BD102" s="2">
        <v>1.2</v>
      </c>
      <c r="BE102" s="2">
        <v>6.2</v>
      </c>
      <c r="BF102" s="2">
        <v>51</v>
      </c>
      <c r="BG102" s="2">
        <v>146</v>
      </c>
      <c r="BH102" s="2">
        <v>1151</v>
      </c>
      <c r="BI102" s="2">
        <v>237</v>
      </c>
      <c r="BJ102" s="2">
        <v>14</v>
      </c>
      <c r="BK102" s="2">
        <v>33.9</v>
      </c>
      <c r="BL102" s="2">
        <v>4</v>
      </c>
      <c r="BM102" s="2">
        <v>1.5</v>
      </c>
      <c r="BN102" s="2">
        <v>0</v>
      </c>
      <c r="BO102" s="2">
        <v>0.37</v>
      </c>
      <c r="BP102" s="2">
        <v>5.76</v>
      </c>
      <c r="BQ102" s="2">
        <v>1.95</v>
      </c>
    </row>
    <row r="103" spans="1:69" x14ac:dyDescent="0.2">
      <c r="A103">
        <v>10</v>
      </c>
      <c r="B103">
        <v>7</v>
      </c>
      <c r="C103" t="s">
        <v>21</v>
      </c>
      <c r="D103" t="s">
        <v>3</v>
      </c>
      <c r="E103">
        <v>2</v>
      </c>
      <c r="F103" s="2">
        <v>235.54190564292318</v>
      </c>
      <c r="G103" s="2">
        <v>241.63955600403605</v>
      </c>
      <c r="H103" s="2">
        <v>298.63348751156371</v>
      </c>
      <c r="I103" s="2">
        <v>451.16246215943477</v>
      </c>
      <c r="J103" s="2">
        <v>534.17539315448687</v>
      </c>
      <c r="K103" s="2">
        <v>692.80201816347085</v>
      </c>
      <c r="L103" s="2">
        <v>6.0976503611128692</v>
      </c>
      <c r="M103" s="2">
        <v>158.62662500898398</v>
      </c>
      <c r="N103" s="2">
        <v>1.5004999999999999</v>
      </c>
      <c r="O103" s="2">
        <v>15.430999999999999</v>
      </c>
      <c r="P103" s="2">
        <v>0.59099999999999997</v>
      </c>
      <c r="Q103" s="2">
        <v>4.9340909090909095</v>
      </c>
      <c r="R103" s="2">
        <v>12.563615560640729</v>
      </c>
      <c r="S103" s="2">
        <v>21.693999999999999</v>
      </c>
      <c r="T103" s="2">
        <v>79.054752066115697</v>
      </c>
      <c r="U103" s="2">
        <v>81.022883295194504</v>
      </c>
      <c r="V103" s="2">
        <v>71.301498855835234</v>
      </c>
      <c r="W103" s="2">
        <v>61.703842975206612</v>
      </c>
      <c r="X103" s="2">
        <v>22.285</v>
      </c>
      <c r="Y103" s="2">
        <v>91.3</v>
      </c>
      <c r="Z103" s="2">
        <v>50.36</v>
      </c>
      <c r="AA103" s="2">
        <v>21.93</v>
      </c>
      <c r="AB103" s="2">
        <v>15.26</v>
      </c>
      <c r="AC103" s="2">
        <v>3.38</v>
      </c>
      <c r="AD103" s="2">
        <v>22.71</v>
      </c>
      <c r="AE103" s="2">
        <v>28.21</v>
      </c>
      <c r="AF103" s="2">
        <v>50.9</v>
      </c>
      <c r="AG103" s="2">
        <v>46.2</v>
      </c>
      <c r="AH103" s="2">
        <v>4.7</v>
      </c>
      <c r="AI103" s="2">
        <v>34.4</v>
      </c>
      <c r="AJ103" s="2">
        <v>5.98</v>
      </c>
      <c r="AK103" s="2">
        <v>1.762</v>
      </c>
      <c r="AL103" s="2">
        <v>0.96699999999999997</v>
      </c>
      <c r="AM103" s="2">
        <v>0.70399999999999996</v>
      </c>
      <c r="AN103" s="2">
        <v>0.54900000000000004</v>
      </c>
      <c r="AO103" s="2">
        <v>1.7050000000000001</v>
      </c>
      <c r="AP103" s="2">
        <v>0.45100000000000001</v>
      </c>
      <c r="AQ103" s="2">
        <v>1.1559999999999999</v>
      </c>
      <c r="AR103" s="2">
        <v>1.298</v>
      </c>
      <c r="AS103" s="2">
        <v>13.8</v>
      </c>
      <c r="AT103" s="2">
        <v>186.2</v>
      </c>
      <c r="AU103" s="2">
        <v>1.4910000000000001</v>
      </c>
      <c r="AV103" s="2">
        <v>2.09</v>
      </c>
      <c r="AW103" s="2">
        <v>0.214</v>
      </c>
      <c r="AX103" s="2">
        <v>0.222</v>
      </c>
      <c r="AY103" s="2">
        <v>0.56399999999999995</v>
      </c>
      <c r="AZ103" s="2">
        <v>0.32</v>
      </c>
      <c r="BA103" s="2">
        <v>1.06</v>
      </c>
      <c r="BB103" s="2">
        <v>6.4</v>
      </c>
      <c r="BC103" s="2">
        <v>75</v>
      </c>
      <c r="BD103" s="2">
        <v>1.6</v>
      </c>
      <c r="BE103" s="2">
        <v>5.7</v>
      </c>
      <c r="BF103" s="2">
        <v>46</v>
      </c>
      <c r="BG103" s="2">
        <v>104</v>
      </c>
      <c r="BH103" s="2">
        <v>689</v>
      </c>
      <c r="BI103" s="2">
        <v>132</v>
      </c>
      <c r="BJ103" s="2">
        <v>14</v>
      </c>
      <c r="BK103" s="2">
        <v>42.4</v>
      </c>
      <c r="BL103" s="2">
        <v>2.5</v>
      </c>
      <c r="BM103" s="2">
        <v>4.0999999999999996</v>
      </c>
      <c r="BN103" s="2">
        <v>0</v>
      </c>
      <c r="BO103" s="2">
        <v>0.27</v>
      </c>
      <c r="BP103" s="2">
        <v>3.45</v>
      </c>
      <c r="BQ103" s="2">
        <v>1.0900000000000001</v>
      </c>
    </row>
    <row r="104" spans="1:69" x14ac:dyDescent="0.2">
      <c r="A104">
        <v>20</v>
      </c>
      <c r="B104">
        <v>20</v>
      </c>
      <c r="C104" t="s">
        <v>21</v>
      </c>
      <c r="D104" t="s">
        <v>3</v>
      </c>
      <c r="E104">
        <v>1</v>
      </c>
      <c r="F104" s="2">
        <v>250.19428571428551</v>
      </c>
      <c r="G104" s="2">
        <v>322.55076923076928</v>
      </c>
      <c r="H104" s="2">
        <v>755.39428571428562</v>
      </c>
      <c r="I104" s="2">
        <v>542.11846153846136</v>
      </c>
      <c r="J104" s="2">
        <v>1005.5885714285712</v>
      </c>
      <c r="K104" s="2">
        <v>864.66923076923058</v>
      </c>
      <c r="L104" s="2">
        <v>72.356483516483763</v>
      </c>
      <c r="M104" s="2">
        <v>-140.91934065934061</v>
      </c>
      <c r="N104" s="2">
        <v>2.1526000000000001</v>
      </c>
      <c r="O104" s="2">
        <v>25.274000000000001</v>
      </c>
      <c r="P104" s="2">
        <v>0.81979999999999997</v>
      </c>
      <c r="Q104" s="2">
        <v>3.5909999999999997</v>
      </c>
      <c r="R104" s="2">
        <v>7.1562000000000001</v>
      </c>
      <c r="S104" s="2">
        <v>19.669599999999999</v>
      </c>
      <c r="T104" s="2">
        <v>88.827200000000005</v>
      </c>
      <c r="U104" s="2">
        <v>96.484400000000008</v>
      </c>
      <c r="V104" s="2">
        <v>83.151200000000003</v>
      </c>
      <c r="W104" s="2">
        <v>71.928799999999995</v>
      </c>
      <c r="X104" s="2">
        <v>20.4894</v>
      </c>
      <c r="Y104" s="2">
        <v>86.81</v>
      </c>
      <c r="Z104" s="2">
        <v>43.43</v>
      </c>
      <c r="AA104" s="2">
        <v>24.31</v>
      </c>
      <c r="AB104" s="2">
        <v>16.57</v>
      </c>
      <c r="AC104" s="2">
        <v>2.2000000000000002</v>
      </c>
      <c r="AD104" s="2">
        <v>26.03</v>
      </c>
      <c r="AE104" s="2">
        <v>34.32</v>
      </c>
      <c r="AF104" s="2">
        <v>60.4</v>
      </c>
      <c r="AG104" s="2">
        <v>44</v>
      </c>
      <c r="AH104" s="2">
        <v>16.399999999999999</v>
      </c>
      <c r="AI104" s="2">
        <v>21.88</v>
      </c>
      <c r="AJ104" s="2">
        <v>4.58</v>
      </c>
      <c r="AK104" s="2">
        <v>1.643</v>
      </c>
      <c r="AL104" s="2">
        <v>1.149</v>
      </c>
      <c r="AM104" s="2">
        <v>0.89100000000000001</v>
      </c>
      <c r="AN104" s="2">
        <v>0.69899999999999995</v>
      </c>
      <c r="AO104" s="2">
        <v>1.8879999999999999</v>
      </c>
      <c r="AP104" s="2">
        <v>0.59899999999999998</v>
      </c>
      <c r="AQ104" s="2">
        <v>1.099</v>
      </c>
      <c r="AR104" s="2">
        <v>1.883</v>
      </c>
      <c r="AS104" s="2">
        <v>23.67</v>
      </c>
      <c r="AT104" s="2">
        <v>224.3</v>
      </c>
      <c r="AU104" s="2">
        <v>1.3</v>
      </c>
      <c r="AV104" s="2">
        <v>0.05</v>
      </c>
      <c r="AW104" s="2">
        <v>0.22900000000000001</v>
      </c>
      <c r="AX104" s="2">
        <v>0.22900000000000001</v>
      </c>
      <c r="AY104" s="2">
        <v>0.54200000000000004</v>
      </c>
      <c r="AZ104" s="2">
        <v>0.41</v>
      </c>
      <c r="BA104" s="2">
        <v>1</v>
      </c>
      <c r="BB104" s="2">
        <v>7.1</v>
      </c>
      <c r="BC104" s="2">
        <v>73</v>
      </c>
      <c r="BD104" s="2">
        <v>1.9</v>
      </c>
      <c r="BE104" s="2">
        <v>5.6</v>
      </c>
      <c r="BF104" s="2">
        <v>77</v>
      </c>
      <c r="BG104" s="2">
        <v>53</v>
      </c>
      <c r="BH104" s="2">
        <v>761</v>
      </c>
      <c r="BI104" s="2">
        <v>154</v>
      </c>
      <c r="BJ104" s="2">
        <v>17</v>
      </c>
      <c r="BK104" s="2">
        <v>40.5</v>
      </c>
      <c r="BL104" s="2">
        <v>3.9</v>
      </c>
      <c r="BM104" s="2">
        <v>21.4</v>
      </c>
      <c r="BN104" s="2">
        <v>0</v>
      </c>
      <c r="BO104" s="2">
        <v>0.14000000000000001</v>
      </c>
      <c r="BP104" s="2">
        <v>3.81</v>
      </c>
      <c r="BQ104" s="2">
        <v>1.27</v>
      </c>
    </row>
    <row r="105" spans="1:69" x14ac:dyDescent="0.2">
      <c r="A105">
        <v>20</v>
      </c>
      <c r="B105">
        <v>25</v>
      </c>
      <c r="C105" t="s">
        <v>21</v>
      </c>
      <c r="D105" t="s">
        <v>0</v>
      </c>
      <c r="E105">
        <v>2</v>
      </c>
      <c r="F105" s="2">
        <v>579.52178770949706</v>
      </c>
      <c r="G105" s="2">
        <v>629.97831325301183</v>
      </c>
      <c r="H105" s="2">
        <v>1023.5709497206703</v>
      </c>
      <c r="I105" s="2">
        <v>865.53542168674676</v>
      </c>
      <c r="J105" s="2">
        <v>1603.0927374301673</v>
      </c>
      <c r="K105" s="2">
        <v>1495.5137349397587</v>
      </c>
      <c r="L105" s="2">
        <v>50.456525543514772</v>
      </c>
      <c r="M105" s="2">
        <v>-107.57900249040858</v>
      </c>
      <c r="N105" s="2">
        <v>2.8529</v>
      </c>
      <c r="O105" s="2">
        <v>33.376999999999995</v>
      </c>
      <c r="P105" s="2">
        <v>1.1518000000000002</v>
      </c>
      <c r="Q105" s="2">
        <v>2.2913999999999999</v>
      </c>
      <c r="R105" s="2">
        <v>1.9542000000000002</v>
      </c>
      <c r="S105" s="2">
        <v>25.157</v>
      </c>
      <c r="T105" s="2">
        <v>146.75959999999998</v>
      </c>
      <c r="U105" s="2">
        <v>149.96959999999999</v>
      </c>
      <c r="V105" s="2">
        <v>125.61499999999997</v>
      </c>
      <c r="W105" s="2">
        <v>122.74219999999998</v>
      </c>
      <c r="X105" s="2">
        <v>26.308800000000002</v>
      </c>
      <c r="Y105" s="2">
        <v>70.17</v>
      </c>
      <c r="Z105" s="2">
        <v>39.11</v>
      </c>
      <c r="AA105" s="2">
        <v>18.329999999999998</v>
      </c>
      <c r="AB105" s="2">
        <v>11</v>
      </c>
      <c r="AC105" s="2">
        <v>1.49</v>
      </c>
      <c r="AD105" s="2">
        <v>36.6</v>
      </c>
      <c r="AE105" s="2">
        <v>19.23</v>
      </c>
      <c r="AF105" s="2">
        <v>55.8</v>
      </c>
      <c r="AG105" s="2">
        <v>35.5</v>
      </c>
      <c r="AH105" s="2">
        <v>20.3</v>
      </c>
      <c r="AI105" s="2">
        <v>11.8</v>
      </c>
      <c r="AJ105" s="2">
        <v>2.54</v>
      </c>
      <c r="AK105" s="2">
        <v>1.79</v>
      </c>
      <c r="AL105" s="2">
        <v>1.6970000000000001</v>
      </c>
      <c r="AM105" s="2">
        <v>0.97199999999999998</v>
      </c>
      <c r="AN105" s="2">
        <v>0.94799999999999995</v>
      </c>
      <c r="AO105" s="2">
        <v>3.0390000000000001</v>
      </c>
      <c r="AP105" s="2">
        <v>0.93600000000000005</v>
      </c>
      <c r="AQ105" s="2">
        <v>0.88800000000000001</v>
      </c>
      <c r="AR105" s="2">
        <v>2.427</v>
      </c>
      <c r="AS105" s="2">
        <v>30.2</v>
      </c>
      <c r="AT105" s="2">
        <v>632.9</v>
      </c>
      <c r="AU105" s="2">
        <v>1.0149999999999999</v>
      </c>
      <c r="AV105" s="2">
        <v>1.47</v>
      </c>
      <c r="AW105" s="2">
        <v>0.20100000000000001</v>
      </c>
      <c r="AX105" s="2">
        <v>0.186</v>
      </c>
      <c r="AY105" s="2">
        <v>0.61299999999999999</v>
      </c>
      <c r="AZ105" s="2">
        <v>0.36</v>
      </c>
      <c r="BA105" s="2">
        <v>0.79</v>
      </c>
      <c r="BB105" s="2">
        <v>6.3</v>
      </c>
      <c r="BC105" s="2">
        <v>77</v>
      </c>
      <c r="BD105" s="2">
        <v>1.4</v>
      </c>
      <c r="BE105" s="2">
        <v>5.8</v>
      </c>
      <c r="BF105" s="2">
        <v>31</v>
      </c>
      <c r="BG105" s="2">
        <v>129</v>
      </c>
      <c r="BH105" s="2">
        <v>647</v>
      </c>
      <c r="BI105" s="2">
        <v>162</v>
      </c>
      <c r="BJ105" s="2">
        <v>12</v>
      </c>
      <c r="BK105" s="2">
        <v>24.1</v>
      </c>
      <c r="BL105" s="2">
        <v>1.8</v>
      </c>
      <c r="BM105" s="2">
        <v>1.2</v>
      </c>
      <c r="BN105" s="2">
        <v>0</v>
      </c>
      <c r="BO105" s="2">
        <v>0.33</v>
      </c>
      <c r="BP105" s="2">
        <v>3.24</v>
      </c>
      <c r="BQ105" s="2">
        <v>1.33</v>
      </c>
    </row>
    <row r="106" spans="1:69" x14ac:dyDescent="0.2">
      <c r="A106">
        <v>20</v>
      </c>
      <c r="B106">
        <v>27</v>
      </c>
      <c r="C106" t="s">
        <v>21</v>
      </c>
      <c r="D106" t="s">
        <v>3</v>
      </c>
      <c r="E106">
        <v>3</v>
      </c>
      <c r="F106" s="2">
        <v>388.03256561328323</v>
      </c>
      <c r="G106" s="2">
        <v>347.61467889908261</v>
      </c>
      <c r="H106" s="2">
        <v>600.71987145152627</v>
      </c>
      <c r="I106" s="2">
        <v>627.69279161205748</v>
      </c>
      <c r="J106" s="2">
        <v>988.75243706480956</v>
      </c>
      <c r="K106" s="2">
        <v>975.30747051114008</v>
      </c>
      <c r="L106" s="2">
        <v>-40.41788671420062</v>
      </c>
      <c r="M106" s="2">
        <v>-13.444966553669474</v>
      </c>
      <c r="N106" s="2">
        <v>2.4203000000000001</v>
      </c>
      <c r="O106" s="2">
        <v>27.381</v>
      </c>
      <c r="P106" s="2">
        <v>0.97179999999999989</v>
      </c>
      <c r="Q106" s="2">
        <v>28.882200000000005</v>
      </c>
      <c r="R106" s="2">
        <v>47.408999999999999</v>
      </c>
      <c r="S106" s="2">
        <v>23.035799999999998</v>
      </c>
      <c r="T106" s="2">
        <v>98.2136</v>
      </c>
      <c r="U106" s="2">
        <v>27.807199999999998</v>
      </c>
      <c r="V106" s="2">
        <v>51.208600000000004</v>
      </c>
      <c r="W106" s="2">
        <v>103.0882</v>
      </c>
      <c r="X106" s="2">
        <v>24.007599999999996</v>
      </c>
      <c r="Y106" s="2">
        <v>80.47</v>
      </c>
      <c r="Z106" s="2">
        <v>51.09</v>
      </c>
      <c r="AA106" s="2">
        <v>16.28</v>
      </c>
      <c r="AB106" s="2">
        <v>11.1</v>
      </c>
      <c r="AC106" s="2">
        <v>1.76</v>
      </c>
      <c r="AD106" s="2">
        <v>33.58</v>
      </c>
      <c r="AE106" s="2">
        <v>23.91</v>
      </c>
      <c r="AF106" s="2">
        <v>57.5</v>
      </c>
      <c r="AG106" s="2">
        <v>40.700000000000003</v>
      </c>
      <c r="AH106" s="2">
        <v>16.7</v>
      </c>
      <c r="AI106" s="2">
        <v>18.27</v>
      </c>
      <c r="AJ106" s="2">
        <v>4.71</v>
      </c>
      <c r="AK106" s="2">
        <v>1.9730000000000001</v>
      </c>
      <c r="AL106" s="2">
        <v>1.4219999999999999</v>
      </c>
      <c r="AM106" s="2">
        <v>0.85299999999999998</v>
      </c>
      <c r="AN106" s="2">
        <v>0.72</v>
      </c>
      <c r="AO106" s="2">
        <v>2.8050000000000002</v>
      </c>
      <c r="AP106" s="2">
        <v>0.65700000000000003</v>
      </c>
      <c r="AQ106" s="2">
        <v>1.0189999999999999</v>
      </c>
      <c r="AR106" s="2">
        <v>2.0920000000000001</v>
      </c>
      <c r="AS106" s="2">
        <v>24.76</v>
      </c>
      <c r="AT106" s="2">
        <v>340.4</v>
      </c>
      <c r="AU106" s="2">
        <v>1.2569999999999999</v>
      </c>
      <c r="AV106" s="2">
        <v>7.62</v>
      </c>
      <c r="AW106" s="2">
        <v>0.25800000000000001</v>
      </c>
      <c r="AX106" s="2">
        <v>0.25600000000000001</v>
      </c>
      <c r="AY106" s="2">
        <v>0.48599999999999999</v>
      </c>
      <c r="AZ106" s="2">
        <v>0.32</v>
      </c>
      <c r="BA106" s="2">
        <v>0.89</v>
      </c>
      <c r="BB106" s="2">
        <v>9</v>
      </c>
      <c r="BC106" s="2">
        <v>87</v>
      </c>
      <c r="BD106" s="2">
        <v>1.2</v>
      </c>
      <c r="BE106" s="2">
        <v>6.3</v>
      </c>
      <c r="BF106" s="2">
        <v>133</v>
      </c>
      <c r="BG106" s="2">
        <v>105</v>
      </c>
      <c r="BH106" s="2">
        <v>1107</v>
      </c>
      <c r="BI106" s="2">
        <v>249</v>
      </c>
      <c r="BJ106" s="2">
        <v>15</v>
      </c>
      <c r="BK106" s="2">
        <v>50.3</v>
      </c>
      <c r="BL106" s="2">
        <v>4.5999999999999996</v>
      </c>
      <c r="BM106" s="2">
        <v>7.3</v>
      </c>
      <c r="BN106" s="2">
        <v>0</v>
      </c>
      <c r="BO106" s="2">
        <v>0.27</v>
      </c>
      <c r="BP106" s="2">
        <v>5.54</v>
      </c>
      <c r="BQ106" s="2">
        <v>2.0499999999999998</v>
      </c>
    </row>
    <row r="107" spans="1:69" x14ac:dyDescent="0.2">
      <c r="A107">
        <v>10</v>
      </c>
      <c r="B107">
        <v>44</v>
      </c>
      <c r="C107" t="s">
        <v>21</v>
      </c>
      <c r="D107" t="s">
        <v>7</v>
      </c>
      <c r="E107">
        <v>3</v>
      </c>
      <c r="F107" s="2">
        <v>160.72911032028424</v>
      </c>
      <c r="G107" s="2">
        <v>189.37437125748431</v>
      </c>
      <c r="H107" s="2">
        <v>229.2277580071173</v>
      </c>
      <c r="I107" s="2">
        <v>338.81676646706563</v>
      </c>
      <c r="J107" s="2">
        <v>389.95686832740154</v>
      </c>
      <c r="K107" s="2">
        <v>528.19113772454989</v>
      </c>
      <c r="L107" s="2">
        <v>28.645260937200078</v>
      </c>
      <c r="M107" s="2">
        <v>138.23426939714835</v>
      </c>
      <c r="N107" s="2">
        <v>0.86270000000000002</v>
      </c>
      <c r="O107" s="2">
        <v>10.928000000000001</v>
      </c>
      <c r="P107" s="2">
        <v>0.71479999999999999</v>
      </c>
      <c r="Q107" s="2">
        <v>5.8037383177570092</v>
      </c>
      <c r="R107" s="2">
        <v>15.630887185104051</v>
      </c>
      <c r="S107" s="2">
        <v>16.0002</v>
      </c>
      <c r="T107" s="2">
        <v>37.365316718587749</v>
      </c>
      <c r="U107" s="2">
        <v>35.408105147864177</v>
      </c>
      <c r="V107" s="2">
        <v>34.323992332968231</v>
      </c>
      <c r="W107" s="2">
        <v>26.454055036344759</v>
      </c>
      <c r="X107" s="2">
        <v>16.715</v>
      </c>
      <c r="Y107" s="2">
        <v>91.53</v>
      </c>
      <c r="Z107" s="2">
        <v>46.95</v>
      </c>
      <c r="AA107" s="2">
        <v>25.55</v>
      </c>
      <c r="AB107" s="2">
        <v>16.72</v>
      </c>
      <c r="AC107" s="2">
        <v>2.0699999999999998</v>
      </c>
      <c r="AD107" s="2">
        <v>13.42</v>
      </c>
      <c r="AE107" s="2">
        <v>28.71</v>
      </c>
      <c r="AF107" s="2">
        <v>42.1</v>
      </c>
      <c r="AG107" s="2">
        <v>46.3</v>
      </c>
      <c r="AH107" s="2">
        <v>-4.2</v>
      </c>
      <c r="AI107" s="2">
        <v>42</v>
      </c>
      <c r="AJ107" s="2">
        <v>7.4</v>
      </c>
      <c r="AK107" s="2">
        <v>1.6779999999999999</v>
      </c>
      <c r="AL107" s="2">
        <v>0.69</v>
      </c>
      <c r="AM107" s="2">
        <v>0.58099999999999996</v>
      </c>
      <c r="AN107" s="2">
        <v>0.41099999999999998</v>
      </c>
      <c r="AO107" s="2">
        <v>1.157</v>
      </c>
      <c r="AP107" s="2">
        <v>0.28599999999999998</v>
      </c>
      <c r="AQ107" s="2">
        <v>1.159</v>
      </c>
      <c r="AR107" s="2">
        <v>0.93600000000000005</v>
      </c>
      <c r="AS107" s="2">
        <v>10.67</v>
      </c>
      <c r="AT107" s="2">
        <v>137.4</v>
      </c>
      <c r="AU107" s="2">
        <v>1.4390000000000001</v>
      </c>
      <c r="AV107" s="2">
        <v>0.19</v>
      </c>
      <c r="AW107" s="2">
        <v>0.246</v>
      </c>
      <c r="AX107" s="2">
        <v>0.19600000000000001</v>
      </c>
      <c r="AY107" s="2">
        <v>0.55800000000000005</v>
      </c>
      <c r="AZ107" s="2">
        <v>0.46</v>
      </c>
      <c r="BA107" s="2">
        <v>0.95</v>
      </c>
      <c r="BB107" s="2">
        <v>5.7</v>
      </c>
      <c r="BC107" s="2">
        <v>78</v>
      </c>
      <c r="BD107" s="2">
        <v>1.2</v>
      </c>
      <c r="BE107" s="2">
        <v>6</v>
      </c>
      <c r="BF107" s="2">
        <v>137</v>
      </c>
      <c r="BG107" s="2">
        <v>154</v>
      </c>
      <c r="BH107" s="2">
        <v>586</v>
      </c>
      <c r="BI107" s="2">
        <v>134</v>
      </c>
      <c r="BJ107" s="2">
        <v>10</v>
      </c>
      <c r="BK107" s="2">
        <v>170.5</v>
      </c>
      <c r="BL107" s="2">
        <v>1.9</v>
      </c>
      <c r="BM107" s="2">
        <v>3.8</v>
      </c>
      <c r="BN107" s="2">
        <v>0</v>
      </c>
      <c r="BO107" s="2">
        <v>0.39</v>
      </c>
      <c r="BP107" s="2">
        <v>2.93</v>
      </c>
      <c r="BQ107" s="2">
        <v>1.1000000000000001</v>
      </c>
    </row>
    <row r="108" spans="1:69" x14ac:dyDescent="0.2">
      <c r="A108">
        <v>20</v>
      </c>
      <c r="B108">
        <v>102</v>
      </c>
      <c r="C108" t="s">
        <v>21</v>
      </c>
      <c r="D108" t="s">
        <v>5</v>
      </c>
      <c r="E108">
        <v>1</v>
      </c>
      <c r="F108" s="2">
        <v>225.72765957446802</v>
      </c>
      <c r="G108" s="2">
        <v>232.4539877300613</v>
      </c>
      <c r="H108" s="2">
        <v>834.83404255319124</v>
      </c>
      <c r="I108" s="2">
        <v>922.37742331288325</v>
      </c>
      <c r="J108" s="2">
        <v>1060.5617021276594</v>
      </c>
      <c r="K108" s="2">
        <v>1154.8314110429446</v>
      </c>
      <c r="L108" s="2">
        <v>6.7263281555932792</v>
      </c>
      <c r="M108" s="2">
        <v>94.269708915285264</v>
      </c>
      <c r="N108" s="2">
        <v>1.9534000000000002</v>
      </c>
      <c r="O108" s="2">
        <v>32.384</v>
      </c>
      <c r="P108" s="2">
        <v>1.2884000000000002</v>
      </c>
      <c r="Q108" s="2">
        <v>0.88740000000000008</v>
      </c>
      <c r="R108" s="2">
        <v>0.66060000000000008</v>
      </c>
      <c r="S108" s="2">
        <v>22.452999999999999</v>
      </c>
      <c r="T108" s="2">
        <v>113.4128</v>
      </c>
      <c r="U108" s="2">
        <v>121.2332</v>
      </c>
      <c r="V108" s="2">
        <v>98.1524</v>
      </c>
      <c r="W108" s="2">
        <v>90.558800000000005</v>
      </c>
      <c r="X108" s="2">
        <v>23.741399999999999</v>
      </c>
      <c r="Y108" s="2">
        <v>72.87</v>
      </c>
      <c r="Z108" s="2">
        <v>38.96</v>
      </c>
      <c r="AA108" s="2">
        <v>18.82</v>
      </c>
      <c r="AB108" s="2">
        <v>12.54</v>
      </c>
      <c r="AC108" s="2">
        <v>2.19</v>
      </c>
      <c r="AD108" s="2">
        <v>35.5</v>
      </c>
      <c r="AE108" s="2">
        <v>21.57</v>
      </c>
      <c r="AF108" s="2">
        <v>57.1</v>
      </c>
      <c r="AG108" s="2">
        <v>36.9</v>
      </c>
      <c r="AH108" s="2">
        <v>20.2</v>
      </c>
      <c r="AI108" s="2">
        <v>12.93</v>
      </c>
      <c r="AJ108" s="2">
        <v>2.87</v>
      </c>
      <c r="AK108" s="2">
        <v>1.726</v>
      </c>
      <c r="AL108" s="2">
        <v>1.6140000000000001</v>
      </c>
      <c r="AM108" s="2">
        <v>0.98799999999999999</v>
      </c>
      <c r="AN108" s="2">
        <v>0.93500000000000005</v>
      </c>
      <c r="AO108" s="2">
        <v>2.7850000000000001</v>
      </c>
      <c r="AP108" s="2">
        <v>0.91100000000000003</v>
      </c>
      <c r="AQ108" s="2">
        <v>0.92200000000000004</v>
      </c>
      <c r="AR108" s="2">
        <v>1.895</v>
      </c>
      <c r="AS108" s="2">
        <v>32.14</v>
      </c>
      <c r="AT108" s="2">
        <v>398.6</v>
      </c>
      <c r="AU108" s="2">
        <v>1.016</v>
      </c>
      <c r="AV108" s="2">
        <v>6.78</v>
      </c>
      <c r="AW108" s="2">
        <v>0.223</v>
      </c>
      <c r="AX108" s="2">
        <v>0.223</v>
      </c>
      <c r="AY108" s="2">
        <v>0.55400000000000005</v>
      </c>
      <c r="AZ108" s="2">
        <v>0.6</v>
      </c>
      <c r="BA108" s="2">
        <v>0.74</v>
      </c>
      <c r="BB108" s="2">
        <v>5.0999999999999996</v>
      </c>
      <c r="BC108" s="2">
        <v>50</v>
      </c>
      <c r="BD108" s="2">
        <v>2.5</v>
      </c>
      <c r="BE108" s="2">
        <v>4.5999999999999996</v>
      </c>
      <c r="BF108" s="2">
        <v>10</v>
      </c>
      <c r="BG108" s="2">
        <v>78</v>
      </c>
      <c r="BH108" s="2">
        <v>397</v>
      </c>
      <c r="BI108" s="2">
        <v>47</v>
      </c>
      <c r="BJ108" s="2">
        <v>18</v>
      </c>
      <c r="BK108" s="2">
        <v>59.3</v>
      </c>
      <c r="BL108" s="2">
        <v>1.4</v>
      </c>
      <c r="BM108" s="2">
        <v>0.5</v>
      </c>
      <c r="BN108" s="2">
        <v>0</v>
      </c>
      <c r="BO108" s="2">
        <v>0.2</v>
      </c>
      <c r="BP108" s="2">
        <v>1.99</v>
      </c>
      <c r="BQ108" s="2">
        <v>0.39</v>
      </c>
    </row>
    <row r="109" spans="1:69" x14ac:dyDescent="0.2">
      <c r="A109">
        <v>20</v>
      </c>
      <c r="B109">
        <v>117</v>
      </c>
      <c r="C109" t="s">
        <v>21</v>
      </c>
      <c r="D109" t="s">
        <v>0</v>
      </c>
      <c r="E109">
        <v>4</v>
      </c>
      <c r="F109" s="2">
        <v>503.61630094043875</v>
      </c>
      <c r="G109" s="2">
        <v>341.27362428842486</v>
      </c>
      <c r="H109" s="2">
        <v>858.99836990595611</v>
      </c>
      <c r="I109" s="2">
        <v>935.62656546489552</v>
      </c>
      <c r="J109" s="2">
        <v>1362.6146708463948</v>
      </c>
      <c r="K109" s="2">
        <v>1276.9001897533203</v>
      </c>
      <c r="L109" s="2">
        <v>-162.34267665201389</v>
      </c>
      <c r="M109" s="2">
        <v>-85.714481093074482</v>
      </c>
      <c r="N109" s="2">
        <v>2.8226</v>
      </c>
      <c r="O109" s="2">
        <v>34.584000000000003</v>
      </c>
      <c r="P109" s="2">
        <v>0.7994</v>
      </c>
      <c r="Q109" s="2">
        <v>2.1534</v>
      </c>
      <c r="R109" s="2">
        <v>1.4946000000000002</v>
      </c>
      <c r="S109" s="2">
        <v>28.747199999999999</v>
      </c>
      <c r="T109" s="2">
        <v>146.44279999999998</v>
      </c>
      <c r="U109" s="2">
        <v>149.33600000000001</v>
      </c>
      <c r="V109" s="2">
        <v>121.28400000000001</v>
      </c>
      <c r="W109" s="2">
        <v>119.04959999999998</v>
      </c>
      <c r="X109" s="2">
        <v>29.546599999999998</v>
      </c>
      <c r="Y109" s="2">
        <v>72.37</v>
      </c>
      <c r="Z109" s="2">
        <v>40.97</v>
      </c>
      <c r="AA109" s="2">
        <v>18.18</v>
      </c>
      <c r="AB109" s="2">
        <v>11.12</v>
      </c>
      <c r="AC109" s="2">
        <v>1.83</v>
      </c>
      <c r="AD109" s="2">
        <v>37.44</v>
      </c>
      <c r="AE109" s="2">
        <v>20.45</v>
      </c>
      <c r="AF109" s="2">
        <v>57.9</v>
      </c>
      <c r="AG109" s="2">
        <v>36.6</v>
      </c>
      <c r="AH109" s="2">
        <v>21.2</v>
      </c>
      <c r="AI109" s="2">
        <v>11.99</v>
      </c>
      <c r="AJ109" s="2">
        <v>2.4900000000000002</v>
      </c>
      <c r="AK109" s="2">
        <v>1.8089999999999999</v>
      </c>
      <c r="AL109" s="2">
        <v>1.69</v>
      </c>
      <c r="AM109" s="2">
        <v>0.97899999999999998</v>
      </c>
      <c r="AN109" s="2">
        <v>0.93400000000000005</v>
      </c>
      <c r="AO109" s="2">
        <v>3.0569999999999999</v>
      </c>
      <c r="AP109" s="2">
        <v>0.91400000000000003</v>
      </c>
      <c r="AQ109" s="2">
        <v>0.91600000000000004</v>
      </c>
      <c r="AR109" s="2">
        <v>2.5430000000000001</v>
      </c>
      <c r="AS109" s="2">
        <v>33.299999999999997</v>
      </c>
      <c r="AT109" s="2">
        <v>509.8</v>
      </c>
      <c r="AU109" s="2">
        <v>1.0760000000000001</v>
      </c>
      <c r="AV109" s="2">
        <v>0.61</v>
      </c>
      <c r="AW109" s="2">
        <v>0.20599999999999999</v>
      </c>
      <c r="AX109" s="2">
        <v>0.182</v>
      </c>
      <c r="AY109" s="2">
        <v>0.61199999999999999</v>
      </c>
      <c r="AZ109" s="2">
        <v>0.66</v>
      </c>
      <c r="BA109" s="2">
        <v>0.75</v>
      </c>
      <c r="BB109" s="2">
        <v>7</v>
      </c>
      <c r="BC109" s="2">
        <v>80</v>
      </c>
      <c r="BD109" s="2">
        <v>1.4</v>
      </c>
      <c r="BE109" s="2">
        <v>5.8</v>
      </c>
      <c r="BF109" s="2">
        <v>23</v>
      </c>
      <c r="BG109" s="2">
        <v>118</v>
      </c>
      <c r="BH109" s="2">
        <v>738</v>
      </c>
      <c r="BI109" s="2">
        <v>190</v>
      </c>
      <c r="BJ109" s="2">
        <v>15</v>
      </c>
      <c r="BK109" s="2">
        <v>21.5</v>
      </c>
      <c r="BL109" s="2">
        <v>10.8</v>
      </c>
      <c r="BM109" s="2">
        <v>35.1</v>
      </c>
      <c r="BN109" s="2">
        <v>0</v>
      </c>
      <c r="BO109" s="2">
        <v>0.3</v>
      </c>
      <c r="BP109" s="2">
        <v>3.69</v>
      </c>
      <c r="BQ109" s="2">
        <v>1.56</v>
      </c>
    </row>
    <row r="110" spans="1:69" x14ac:dyDescent="0.2">
      <c r="A110">
        <v>20</v>
      </c>
      <c r="B110">
        <v>119</v>
      </c>
      <c r="C110" t="s">
        <v>21</v>
      </c>
      <c r="D110" t="s">
        <v>5</v>
      </c>
      <c r="E110">
        <v>3</v>
      </c>
      <c r="F110" s="2">
        <v>341.29923664122123</v>
      </c>
      <c r="G110" s="2">
        <v>591.78711340206178</v>
      </c>
      <c r="H110" s="2">
        <v>913.98778625954174</v>
      </c>
      <c r="I110" s="2">
        <v>874.98556701030918</v>
      </c>
      <c r="J110" s="2">
        <v>1255.2870229007631</v>
      </c>
      <c r="K110" s="2">
        <v>1466.7726804123708</v>
      </c>
      <c r="L110" s="2">
        <v>250.48787676084055</v>
      </c>
      <c r="M110" s="2">
        <v>211.48565751160777</v>
      </c>
      <c r="N110" s="2">
        <v>2.2279999999999998</v>
      </c>
      <c r="O110" s="2">
        <v>33.180999999999997</v>
      </c>
      <c r="P110" s="2">
        <v>1.2597999999999998</v>
      </c>
      <c r="Q110" s="2">
        <v>0.98099999999999998</v>
      </c>
      <c r="R110" s="2">
        <v>2.2938000000000001</v>
      </c>
      <c r="S110" s="2">
        <v>26.152200000000001</v>
      </c>
      <c r="T110" s="2">
        <v>128.678</v>
      </c>
      <c r="U110" s="2">
        <v>147.96799999999999</v>
      </c>
      <c r="V110" s="2">
        <v>122.84979999999999</v>
      </c>
      <c r="W110" s="2">
        <v>102.24699999999999</v>
      </c>
      <c r="X110" s="2">
        <v>27.411999999999999</v>
      </c>
      <c r="Y110" s="2">
        <v>71.489999999999995</v>
      </c>
      <c r="Z110" s="2">
        <v>40.119999999999997</v>
      </c>
      <c r="AA110" s="2">
        <v>17.55</v>
      </c>
      <c r="AB110" s="2">
        <v>11.9</v>
      </c>
      <c r="AC110" s="2">
        <v>1.65</v>
      </c>
      <c r="AD110" s="2">
        <v>35.770000000000003</v>
      </c>
      <c r="AE110" s="2">
        <v>20.55</v>
      </c>
      <c r="AF110" s="2">
        <v>56.3</v>
      </c>
      <c r="AG110" s="2">
        <v>36.200000000000003</v>
      </c>
      <c r="AH110" s="2">
        <v>20.100000000000001</v>
      </c>
      <c r="AI110" s="2">
        <v>12.46</v>
      </c>
      <c r="AJ110" s="2">
        <v>2.71</v>
      </c>
      <c r="AK110" s="2">
        <v>1.7929999999999999</v>
      </c>
      <c r="AL110" s="2">
        <v>1.6459999999999999</v>
      </c>
      <c r="AM110" s="2">
        <v>0.97699999999999998</v>
      </c>
      <c r="AN110" s="2">
        <v>0.91800000000000004</v>
      </c>
      <c r="AO110" s="2">
        <v>2.9510000000000001</v>
      </c>
      <c r="AP110" s="2">
        <v>0.89200000000000002</v>
      </c>
      <c r="AQ110" s="2">
        <v>0.90500000000000003</v>
      </c>
      <c r="AR110" s="2">
        <v>1.921</v>
      </c>
      <c r="AS110" s="2">
        <v>28.53</v>
      </c>
      <c r="AT110" s="2">
        <v>414.8</v>
      </c>
      <c r="AU110" s="2">
        <v>0.95699999999999996</v>
      </c>
      <c r="AV110" s="2">
        <v>10.06</v>
      </c>
      <c r="AW110" s="2">
        <v>0.20300000000000001</v>
      </c>
      <c r="AX110" s="2">
        <v>0.193</v>
      </c>
      <c r="AY110" s="2">
        <v>0.60399999999999998</v>
      </c>
      <c r="AZ110" s="2">
        <v>0.56000000000000005</v>
      </c>
      <c r="BA110" s="2">
        <v>0.75</v>
      </c>
      <c r="BB110" s="2">
        <v>4.0999999999999996</v>
      </c>
      <c r="BC110" s="2">
        <v>40</v>
      </c>
      <c r="BD110" s="2">
        <v>2.5</v>
      </c>
      <c r="BE110" s="2">
        <v>4.8</v>
      </c>
      <c r="BF110" s="2">
        <v>13</v>
      </c>
      <c r="BG110" s="2">
        <v>97</v>
      </c>
      <c r="BH110" s="2">
        <v>164</v>
      </c>
      <c r="BI110" s="2">
        <v>70</v>
      </c>
      <c r="BJ110" s="2">
        <v>20</v>
      </c>
      <c r="BK110" s="2">
        <v>64.8</v>
      </c>
      <c r="BL110" s="2">
        <v>1.8</v>
      </c>
      <c r="BM110" s="2">
        <v>1.3</v>
      </c>
      <c r="BN110" s="2">
        <v>0</v>
      </c>
      <c r="BO110" s="2">
        <v>0.25</v>
      </c>
      <c r="BP110" s="2">
        <v>0.82</v>
      </c>
      <c r="BQ110" s="2">
        <v>0.57999999999999996</v>
      </c>
    </row>
    <row r="111" spans="1:69" x14ac:dyDescent="0.2">
      <c r="A111">
        <v>10</v>
      </c>
      <c r="B111">
        <v>155</v>
      </c>
      <c r="C111" t="s">
        <v>21</v>
      </c>
      <c r="D111" t="s">
        <v>7</v>
      </c>
      <c r="E111">
        <v>2</v>
      </c>
      <c r="F111" s="2">
        <v>116.20712342960725</v>
      </c>
      <c r="G111" s="2">
        <v>131.26785393978201</v>
      </c>
      <c r="H111" s="2">
        <v>126.41450589301878</v>
      </c>
      <c r="I111" s="2">
        <v>358.85058295964132</v>
      </c>
      <c r="J111" s="2">
        <v>242.62162932262603</v>
      </c>
      <c r="K111" s="2">
        <v>490.11843689942333</v>
      </c>
      <c r="L111" s="2">
        <v>15.060730510174764</v>
      </c>
      <c r="M111" s="2">
        <v>247.49680757679729</v>
      </c>
      <c r="N111" s="2">
        <v>0.76660000000000006</v>
      </c>
      <c r="O111" s="2">
        <v>8.1751000000000005</v>
      </c>
      <c r="P111" s="2">
        <v>0.70840000000000003</v>
      </c>
      <c r="Q111" s="2">
        <v>8.4624605678233458</v>
      </c>
      <c r="R111" s="2">
        <v>9.8880239520958106</v>
      </c>
      <c r="S111" s="2">
        <v>18.523</v>
      </c>
      <c r="T111" s="2">
        <v>35.981913774973712</v>
      </c>
      <c r="U111" s="2">
        <v>28.197205588822357</v>
      </c>
      <c r="V111" s="2">
        <v>18.853829540918163</v>
      </c>
      <c r="W111" s="2">
        <v>25.212974342797061</v>
      </c>
      <c r="X111" s="2">
        <v>19.231400000000001</v>
      </c>
      <c r="Y111" s="2">
        <v>95.66</v>
      </c>
      <c r="Z111" s="2">
        <v>58.77</v>
      </c>
      <c r="AA111" s="2">
        <v>20.77</v>
      </c>
      <c r="AB111" s="2">
        <v>13.84</v>
      </c>
      <c r="AC111" s="2">
        <v>2.0699999999999998</v>
      </c>
      <c r="AD111" s="2">
        <v>12.52</v>
      </c>
      <c r="AE111" s="2">
        <v>25.63</v>
      </c>
      <c r="AF111" s="2">
        <v>38.200000000000003</v>
      </c>
      <c r="AG111" s="2">
        <v>48.4</v>
      </c>
      <c r="AH111" s="2">
        <v>-10.3</v>
      </c>
      <c r="AI111" s="2">
        <v>48.53</v>
      </c>
      <c r="AJ111" s="2">
        <v>8.98</v>
      </c>
      <c r="AK111" s="2">
        <v>1.925</v>
      </c>
      <c r="AL111" s="2">
        <v>0.624</v>
      </c>
      <c r="AM111" s="2">
        <v>0.48</v>
      </c>
      <c r="AN111" s="2">
        <v>0.32400000000000001</v>
      </c>
      <c r="AO111" s="2">
        <v>1.2</v>
      </c>
      <c r="AP111" s="2">
        <v>0.21299999999999999</v>
      </c>
      <c r="AQ111" s="2">
        <v>1.2110000000000001</v>
      </c>
      <c r="AR111" s="2">
        <v>0.76800000000000002</v>
      </c>
      <c r="AS111" s="2">
        <v>8.09</v>
      </c>
      <c r="AT111" s="2">
        <v>74.900000000000006</v>
      </c>
      <c r="AU111" s="2">
        <v>1.5029999999999999</v>
      </c>
      <c r="AV111" s="2">
        <v>0.19</v>
      </c>
      <c r="AW111" s="2">
        <v>0.29499999999999998</v>
      </c>
      <c r="AX111" s="2">
        <v>0.221</v>
      </c>
      <c r="AY111" s="2">
        <v>0.48399999999999999</v>
      </c>
      <c r="AZ111" s="2">
        <v>0.13</v>
      </c>
      <c r="BA111" s="2">
        <v>1.05</v>
      </c>
      <c r="BB111" s="2">
        <v>7.2</v>
      </c>
      <c r="BC111" s="2">
        <v>81</v>
      </c>
      <c r="BD111" s="2">
        <v>1.4</v>
      </c>
      <c r="BE111" s="2">
        <v>6</v>
      </c>
      <c r="BF111" s="2">
        <v>68</v>
      </c>
      <c r="BG111" s="2">
        <v>199</v>
      </c>
      <c r="BH111" s="2">
        <v>776</v>
      </c>
      <c r="BI111" s="2">
        <v>175</v>
      </c>
      <c r="BJ111" s="2">
        <v>9</v>
      </c>
      <c r="BK111" s="2">
        <v>91.6</v>
      </c>
      <c r="BL111" s="2">
        <v>1.4</v>
      </c>
      <c r="BM111" s="2">
        <v>2.6</v>
      </c>
      <c r="BN111" s="2">
        <v>0</v>
      </c>
      <c r="BO111" s="2">
        <v>0.51</v>
      </c>
      <c r="BP111" s="2">
        <v>3.88</v>
      </c>
      <c r="BQ111" s="2">
        <v>1.44</v>
      </c>
    </row>
    <row r="112" spans="1:69" x14ac:dyDescent="0.2">
      <c r="A112">
        <v>20</v>
      </c>
      <c r="B112">
        <v>159</v>
      </c>
      <c r="C112" t="s">
        <v>21</v>
      </c>
      <c r="D112" t="s">
        <v>3</v>
      </c>
      <c r="E112">
        <v>4</v>
      </c>
      <c r="F112" s="2">
        <v>287.74324460070312</v>
      </c>
      <c r="G112" s="2">
        <v>276.1578436657681</v>
      </c>
      <c r="H112" s="2">
        <v>505.45374183827209</v>
      </c>
      <c r="I112" s="2">
        <v>532.70684636118585</v>
      </c>
      <c r="J112" s="2">
        <v>793.19698643897527</v>
      </c>
      <c r="K112" s="2">
        <v>808.86469002695389</v>
      </c>
      <c r="L112" s="2">
        <v>-11.585400934935024</v>
      </c>
      <c r="M112" s="2">
        <v>15.667703587978622</v>
      </c>
      <c r="N112" s="2">
        <v>1.7215</v>
      </c>
      <c r="O112" s="2">
        <v>20.152000000000001</v>
      </c>
      <c r="P112" s="2">
        <v>0.73160000000000003</v>
      </c>
      <c r="Q112" s="2">
        <v>13.3794</v>
      </c>
      <c r="R112" s="2">
        <v>15.2898</v>
      </c>
      <c r="S112" s="2">
        <v>18.7972</v>
      </c>
      <c r="T112" s="2">
        <v>67.160000000000011</v>
      </c>
      <c r="U112" s="2">
        <v>54.640400000000007</v>
      </c>
      <c r="V112" s="2">
        <v>50.40140000000001</v>
      </c>
      <c r="W112" s="2">
        <v>61.010600000000011</v>
      </c>
      <c r="X112" s="2">
        <v>19.5288</v>
      </c>
      <c r="Y112" s="2">
        <v>89.27</v>
      </c>
      <c r="Z112" s="2">
        <v>40.200000000000003</v>
      </c>
      <c r="AA112" s="2">
        <v>28.65</v>
      </c>
      <c r="AB112" s="2">
        <v>18.11</v>
      </c>
      <c r="AC112" s="2">
        <v>2.08</v>
      </c>
      <c r="AD112" s="2">
        <v>27.06</v>
      </c>
      <c r="AE112" s="2">
        <v>38.18</v>
      </c>
      <c r="AF112" s="2">
        <v>65.2</v>
      </c>
      <c r="AG112" s="2">
        <v>45.2</v>
      </c>
      <c r="AH112" s="2">
        <v>20</v>
      </c>
      <c r="AI112" s="2">
        <v>20.079999999999998</v>
      </c>
      <c r="AJ112" s="2">
        <v>3.95</v>
      </c>
      <c r="AK112" s="2">
        <v>1.5269999999999999</v>
      </c>
      <c r="AL112" s="2">
        <v>1.1739999999999999</v>
      </c>
      <c r="AM112" s="2">
        <v>0.94799999999999995</v>
      </c>
      <c r="AN112" s="2">
        <v>0.76900000000000002</v>
      </c>
      <c r="AO112" s="2">
        <v>1.7929999999999999</v>
      </c>
      <c r="AP112" s="2">
        <v>0.67300000000000004</v>
      </c>
      <c r="AQ112" s="2">
        <v>1.1299999999999999</v>
      </c>
      <c r="AR112" s="2">
        <v>1.667</v>
      </c>
      <c r="AS112" s="2">
        <v>19.809999999999999</v>
      </c>
      <c r="AT112" s="2">
        <v>309.39999999999998</v>
      </c>
      <c r="AU112" s="2">
        <v>1.3220000000000001</v>
      </c>
      <c r="AV112" s="2">
        <v>2.56</v>
      </c>
      <c r="AW112" s="2">
        <v>0.16500000000000001</v>
      </c>
      <c r="AX112" s="2">
        <v>0.22700000000000001</v>
      </c>
      <c r="AY112" s="2">
        <v>0.60799999999999998</v>
      </c>
      <c r="AZ112" s="2">
        <v>0.41</v>
      </c>
      <c r="BA112" s="2">
        <v>0.92</v>
      </c>
      <c r="BB112" s="2">
        <v>7.6</v>
      </c>
      <c r="BC112" s="2">
        <v>86</v>
      </c>
      <c r="BD112" s="2">
        <v>1.1000000000000001</v>
      </c>
      <c r="BE112" s="2">
        <v>6.2</v>
      </c>
      <c r="BF112" s="2">
        <v>63</v>
      </c>
      <c r="BG112" s="2">
        <v>56</v>
      </c>
      <c r="BH112" s="2">
        <v>956</v>
      </c>
      <c r="BI112" s="2">
        <v>194</v>
      </c>
      <c r="BJ112" s="2">
        <v>15</v>
      </c>
      <c r="BK112" s="2">
        <v>27</v>
      </c>
      <c r="BL112" s="2">
        <v>3.8</v>
      </c>
      <c r="BM112" s="2">
        <v>2.2000000000000002</v>
      </c>
      <c r="BN112" s="2">
        <v>0</v>
      </c>
      <c r="BO112" s="2">
        <v>0.14000000000000001</v>
      </c>
      <c r="BP112" s="2">
        <v>4.78</v>
      </c>
      <c r="BQ112" s="2">
        <v>1.6</v>
      </c>
    </row>
    <row r="113" spans="1:69" x14ac:dyDescent="0.2">
      <c r="A113">
        <v>20</v>
      </c>
      <c r="B113">
        <v>190</v>
      </c>
      <c r="C113" t="s">
        <v>21</v>
      </c>
      <c r="D113" t="s">
        <v>5</v>
      </c>
      <c r="E113">
        <v>2</v>
      </c>
      <c r="F113" s="2">
        <v>299.86433013001698</v>
      </c>
      <c r="G113" s="2">
        <v>384.43505976095599</v>
      </c>
      <c r="H113" s="2">
        <v>683.69067269643836</v>
      </c>
      <c r="I113" s="2">
        <v>933.91553784860525</v>
      </c>
      <c r="J113" s="2">
        <v>983.55500282645539</v>
      </c>
      <c r="K113" s="2">
        <v>1318.3505976095612</v>
      </c>
      <c r="L113" s="2">
        <v>84.570729630939013</v>
      </c>
      <c r="M113" s="2">
        <v>334.7955947831058</v>
      </c>
      <c r="N113" s="2">
        <v>2.0834999999999999</v>
      </c>
      <c r="O113" s="2">
        <v>35.459000000000003</v>
      </c>
      <c r="P113" s="2">
        <v>1.3965999999999998</v>
      </c>
      <c r="Q113" s="2">
        <v>1.4081999999999999</v>
      </c>
      <c r="R113" s="2">
        <v>1.3578000000000001</v>
      </c>
      <c r="S113" s="2">
        <v>22.2864</v>
      </c>
      <c r="T113" s="2">
        <v>113.87600000000002</v>
      </c>
      <c r="U113" s="2">
        <v>137.29519999999999</v>
      </c>
      <c r="V113" s="2">
        <v>114.97</v>
      </c>
      <c r="W113" s="2">
        <v>91.601200000000006</v>
      </c>
      <c r="X113" s="2">
        <v>23.683</v>
      </c>
      <c r="Y113" s="2">
        <v>68.88</v>
      </c>
      <c r="Z113" s="2">
        <v>39.15</v>
      </c>
      <c r="AA113" s="2">
        <v>16.989999999999998</v>
      </c>
      <c r="AB113" s="2">
        <v>11.51</v>
      </c>
      <c r="AC113" s="2">
        <v>1.28</v>
      </c>
      <c r="AD113" s="2">
        <v>34.01</v>
      </c>
      <c r="AE113" s="2">
        <v>19.5</v>
      </c>
      <c r="AF113" s="2">
        <v>53.5</v>
      </c>
      <c r="AG113" s="2">
        <v>34.9</v>
      </c>
      <c r="AH113" s="2">
        <v>18.600000000000001</v>
      </c>
      <c r="AI113" s="2">
        <v>13.29</v>
      </c>
      <c r="AJ113" s="2">
        <v>2.08</v>
      </c>
      <c r="AK113" s="2">
        <v>1.8140000000000001</v>
      </c>
      <c r="AL113" s="2">
        <v>1.627</v>
      </c>
      <c r="AM113" s="2">
        <v>0.95299999999999996</v>
      </c>
      <c r="AN113" s="2">
        <v>0.89700000000000002</v>
      </c>
      <c r="AO113" s="2">
        <v>2.9510000000000001</v>
      </c>
      <c r="AP113" s="2">
        <v>0.86899999999999999</v>
      </c>
      <c r="AQ113" s="2">
        <v>0.872</v>
      </c>
      <c r="AR113" s="2">
        <v>1.704</v>
      </c>
      <c r="AS113" s="2">
        <v>30.79</v>
      </c>
      <c r="AT113" s="2">
        <v>446.3</v>
      </c>
      <c r="AU113" s="2">
        <v>0.89400000000000002</v>
      </c>
      <c r="AV113" s="2">
        <v>3.36</v>
      </c>
      <c r="AW113" s="2">
        <v>0.20300000000000001</v>
      </c>
      <c r="AX113" s="2">
        <v>0.186</v>
      </c>
      <c r="AY113" s="2">
        <v>0.61199999999999999</v>
      </c>
      <c r="AZ113" s="2">
        <v>0.71</v>
      </c>
      <c r="BA113" s="2">
        <v>0.78</v>
      </c>
      <c r="BB113" s="2">
        <v>4.5999999999999996</v>
      </c>
      <c r="BC113" s="2">
        <v>43</v>
      </c>
      <c r="BD113" s="2">
        <v>2.6</v>
      </c>
      <c r="BE113" s="2">
        <v>4.7</v>
      </c>
      <c r="BF113" s="2">
        <v>9</v>
      </c>
      <c r="BG113" s="2">
        <v>80</v>
      </c>
      <c r="BH113" s="2">
        <v>221</v>
      </c>
      <c r="BI113" s="2">
        <v>84</v>
      </c>
      <c r="BJ113" s="2">
        <v>17</v>
      </c>
      <c r="BK113" s="2">
        <v>60.6</v>
      </c>
      <c r="BL113" s="2">
        <v>2.2000000000000002</v>
      </c>
      <c r="BM113" s="2">
        <v>1.3</v>
      </c>
      <c r="BN113" s="2">
        <v>0</v>
      </c>
      <c r="BO113" s="2">
        <v>0.2</v>
      </c>
      <c r="BP113" s="2">
        <v>1.1100000000000001</v>
      </c>
      <c r="BQ113" s="2">
        <v>0.69</v>
      </c>
    </row>
    <row r="114" spans="1:69" x14ac:dyDescent="0.2">
      <c r="A114">
        <v>20</v>
      </c>
      <c r="B114">
        <v>195</v>
      </c>
      <c r="C114" t="s">
        <v>21</v>
      </c>
      <c r="D114" t="s">
        <v>5</v>
      </c>
      <c r="E114">
        <v>4</v>
      </c>
      <c r="F114" s="2">
        <v>334.57756448710251</v>
      </c>
      <c r="G114" s="2">
        <v>283.38104448742735</v>
      </c>
      <c r="H114" s="2">
        <v>810.9869226154766</v>
      </c>
      <c r="I114" s="2">
        <v>1039.7152804642164</v>
      </c>
      <c r="J114" s="2">
        <v>1145.5644871025791</v>
      </c>
      <c r="K114" s="2">
        <v>1323.0963249516437</v>
      </c>
      <c r="L114" s="2">
        <v>-51.196519999675161</v>
      </c>
      <c r="M114" s="2">
        <v>177.53183784906469</v>
      </c>
      <c r="N114" s="2">
        <v>2.5607000000000002</v>
      </c>
      <c r="O114" s="2">
        <v>44.621000000000002</v>
      </c>
      <c r="P114" s="2">
        <v>0.92339999999999989</v>
      </c>
      <c r="Q114" s="2">
        <v>0.71699999999999997</v>
      </c>
      <c r="R114" s="2">
        <v>0.99180000000000013</v>
      </c>
      <c r="S114" s="2">
        <v>27.877199999999998</v>
      </c>
      <c r="T114" s="2">
        <v>139.6208</v>
      </c>
      <c r="U114" s="2">
        <v>137.49199999999999</v>
      </c>
      <c r="V114" s="2">
        <v>109.6832</v>
      </c>
      <c r="W114" s="2">
        <v>111.53720000000001</v>
      </c>
      <c r="X114" s="2">
        <v>28.800599999999999</v>
      </c>
      <c r="Y114" s="2">
        <v>70.23</v>
      </c>
      <c r="Z114" s="2">
        <v>30.8</v>
      </c>
      <c r="AA114" s="2">
        <v>22.92</v>
      </c>
      <c r="AB114" s="2">
        <v>15.06</v>
      </c>
      <c r="AC114" s="2">
        <v>1.1000000000000001</v>
      </c>
      <c r="AD114" s="2">
        <v>30.44</v>
      </c>
      <c r="AE114" s="2">
        <v>23.98</v>
      </c>
      <c r="AF114" s="2">
        <v>54.4</v>
      </c>
      <c r="AG114" s="2">
        <v>35.6</v>
      </c>
      <c r="AH114" s="2">
        <v>18.899999999999999</v>
      </c>
      <c r="AI114" s="2">
        <v>13.36</v>
      </c>
      <c r="AJ114" s="2">
        <v>2.4500000000000002</v>
      </c>
      <c r="AK114" s="2">
        <v>1.498</v>
      </c>
      <c r="AL114" s="2">
        <v>1.4890000000000001</v>
      </c>
      <c r="AM114" s="2">
        <v>1.0129999999999999</v>
      </c>
      <c r="AN114" s="2">
        <v>0.99399999999999999</v>
      </c>
      <c r="AO114" s="2">
        <v>2.2309999999999999</v>
      </c>
      <c r="AP114" s="2">
        <v>0.98799999999999999</v>
      </c>
      <c r="AQ114" s="2">
        <v>0.88900000000000001</v>
      </c>
      <c r="AR114" s="2">
        <v>2.2690000000000001</v>
      </c>
      <c r="AS114" s="2">
        <v>41.21</v>
      </c>
      <c r="AT114" s="2">
        <v>436.5</v>
      </c>
      <c r="AU114" s="2">
        <v>0.85099999999999998</v>
      </c>
      <c r="AV114" s="2">
        <v>0.86</v>
      </c>
      <c r="AW114" s="2">
        <v>0.188</v>
      </c>
      <c r="AX114" s="2">
        <v>0.20699999999999999</v>
      </c>
      <c r="AY114" s="2">
        <v>0.60499999999999998</v>
      </c>
      <c r="AZ114" s="2">
        <v>0.66</v>
      </c>
      <c r="BA114" s="2">
        <v>0.76</v>
      </c>
      <c r="BB114" s="2">
        <v>5.3</v>
      </c>
      <c r="BC114" s="2">
        <v>30</v>
      </c>
      <c r="BD114" s="2">
        <v>3.7</v>
      </c>
      <c r="BE114" s="2">
        <v>4.4000000000000004</v>
      </c>
      <c r="BF114" s="2">
        <v>18</v>
      </c>
      <c r="BG114" s="2">
        <v>108</v>
      </c>
      <c r="BH114" s="2">
        <v>133</v>
      </c>
      <c r="BI114" s="2">
        <v>83</v>
      </c>
      <c r="BJ114" s="2">
        <v>22</v>
      </c>
      <c r="BK114" s="2">
        <v>19.2</v>
      </c>
      <c r="BL114" s="2">
        <v>7.1</v>
      </c>
      <c r="BM114" s="2">
        <v>0.9</v>
      </c>
      <c r="BN114" s="2">
        <v>0</v>
      </c>
      <c r="BO114" s="2">
        <v>0.28000000000000003</v>
      </c>
      <c r="BP114" s="2">
        <v>0.67</v>
      </c>
      <c r="BQ114" s="2">
        <v>0.68</v>
      </c>
    </row>
    <row r="115" spans="1:69" x14ac:dyDescent="0.2">
      <c r="A115">
        <v>10</v>
      </c>
      <c r="B115">
        <v>232</v>
      </c>
      <c r="C115" t="s">
        <v>21</v>
      </c>
      <c r="D115" t="s">
        <v>7</v>
      </c>
      <c r="E115">
        <v>1</v>
      </c>
      <c r="F115" s="2">
        <v>129.51904047975978</v>
      </c>
      <c r="G115" s="2">
        <v>167.49946524064151</v>
      </c>
      <c r="H115" s="2">
        <v>432.86626686656655</v>
      </c>
      <c r="I115" s="2">
        <v>341.75294117647024</v>
      </c>
      <c r="J115" s="2">
        <v>562.38530734632627</v>
      </c>
      <c r="K115" s="2">
        <v>509.25240641711173</v>
      </c>
      <c r="L115" s="2">
        <v>37.980424760881732</v>
      </c>
      <c r="M115" s="2">
        <v>-53.132900929214543</v>
      </c>
      <c r="N115" s="2">
        <v>0.56509999999999994</v>
      </c>
      <c r="O115" s="2">
        <v>6.8162000000000003</v>
      </c>
      <c r="P115" s="2">
        <v>0.63404710920770879</v>
      </c>
      <c r="Q115" s="2">
        <v>4.0173652694610782</v>
      </c>
      <c r="R115" s="2">
        <v>6.1132867132867128</v>
      </c>
      <c r="S115" s="2">
        <v>8.4601713062098511</v>
      </c>
      <c r="T115" s="2">
        <v>36.119361277445115</v>
      </c>
      <c r="U115" s="2">
        <v>12.549850149850149</v>
      </c>
      <c r="V115" s="2">
        <v>9.5689184477193034</v>
      </c>
      <c r="W115" s="2">
        <v>31.042508131488638</v>
      </c>
      <c r="X115" s="2">
        <v>9.0942184154175596</v>
      </c>
      <c r="Y115" s="2">
        <v>98.74</v>
      </c>
      <c r="Z115" s="2">
        <v>47.27</v>
      </c>
      <c r="AA115" s="2">
        <v>27.7</v>
      </c>
      <c r="AB115" s="2">
        <v>21.52</v>
      </c>
      <c r="AC115" s="2">
        <v>2.06</v>
      </c>
      <c r="AD115" s="2">
        <v>6.57</v>
      </c>
      <c r="AE115" s="2">
        <v>28.6</v>
      </c>
      <c r="AF115" s="2">
        <v>35.200000000000003</v>
      </c>
      <c r="AG115" s="2">
        <v>50</v>
      </c>
      <c r="AH115" s="2">
        <v>-14.8</v>
      </c>
      <c r="AI115" s="2">
        <v>54.87</v>
      </c>
      <c r="AJ115" s="2">
        <v>8.6999999999999993</v>
      </c>
      <c r="AK115" s="2">
        <v>1.585</v>
      </c>
      <c r="AL115" s="2">
        <v>0.45900000000000002</v>
      </c>
      <c r="AM115" s="2">
        <v>0.46899999999999997</v>
      </c>
      <c r="AN115" s="2">
        <v>0.28999999999999998</v>
      </c>
      <c r="AO115" s="2">
        <v>0.72799999999999998</v>
      </c>
      <c r="AP115" s="2">
        <v>0.13900000000000001</v>
      </c>
      <c r="AQ115" s="2">
        <v>1.25</v>
      </c>
      <c r="AR115" s="2">
        <v>0.69199999999999995</v>
      </c>
      <c r="AS115" s="2">
        <v>8.67</v>
      </c>
      <c r="AT115" s="2">
        <v>101.4</v>
      </c>
      <c r="AU115" s="2">
        <v>1.425</v>
      </c>
      <c r="AV115" s="2">
        <v>3.09</v>
      </c>
      <c r="AW115" s="2">
        <v>0.186</v>
      </c>
      <c r="AX115" s="2">
        <v>0.19900000000000001</v>
      </c>
      <c r="AY115" s="2">
        <v>0.61399999999999999</v>
      </c>
      <c r="AZ115" s="2">
        <v>0.27</v>
      </c>
      <c r="BA115" s="2">
        <v>1.05</v>
      </c>
      <c r="BB115" s="2">
        <v>7.1</v>
      </c>
      <c r="BC115" s="2">
        <v>90</v>
      </c>
      <c r="BD115" s="2">
        <v>0.7</v>
      </c>
      <c r="BE115" s="2">
        <v>6.8</v>
      </c>
      <c r="BF115" s="2">
        <v>124</v>
      </c>
      <c r="BG115" s="2">
        <v>179</v>
      </c>
      <c r="BH115" s="2">
        <v>859</v>
      </c>
      <c r="BI115" s="2">
        <v>201</v>
      </c>
      <c r="BJ115" s="2">
        <v>14</v>
      </c>
      <c r="BK115" s="2">
        <v>150.6</v>
      </c>
      <c r="BL115" s="2">
        <v>1.9</v>
      </c>
      <c r="BM115" s="2">
        <v>2.2999999999999998</v>
      </c>
      <c r="BN115" s="2">
        <v>0</v>
      </c>
      <c r="BO115" s="2">
        <v>0.46</v>
      </c>
      <c r="BP115" s="2">
        <v>4.3</v>
      </c>
      <c r="BQ115" s="2">
        <v>1.65</v>
      </c>
    </row>
    <row r="116" spans="1:69" x14ac:dyDescent="0.2">
      <c r="A116">
        <v>20</v>
      </c>
      <c r="B116">
        <v>241</v>
      </c>
      <c r="C116" t="s">
        <v>21</v>
      </c>
      <c r="D116" t="s">
        <v>0</v>
      </c>
      <c r="E116">
        <v>3</v>
      </c>
      <c r="F116" s="2">
        <v>512.67241157556248</v>
      </c>
      <c r="G116" s="2">
        <v>500.11750503018084</v>
      </c>
      <c r="H116" s="2">
        <v>744.64205787781327</v>
      </c>
      <c r="I116" s="2">
        <v>676.98832997987904</v>
      </c>
      <c r="J116" s="2">
        <v>1257.3144694533758</v>
      </c>
      <c r="K116" s="2">
        <v>1177.1058350100598</v>
      </c>
      <c r="L116" s="2">
        <v>-12.554906545381641</v>
      </c>
      <c r="M116" s="2">
        <v>-80.208634443315987</v>
      </c>
      <c r="N116" s="2">
        <v>2.2081999999999997</v>
      </c>
      <c r="O116" s="2">
        <v>27.088999999999999</v>
      </c>
      <c r="P116" s="2">
        <v>1.0421999999999998</v>
      </c>
      <c r="Q116" s="2">
        <v>1.7081999999999997</v>
      </c>
      <c r="R116" s="2">
        <v>1.581</v>
      </c>
      <c r="S116" s="2">
        <v>24.161999999999999</v>
      </c>
      <c r="T116" s="2">
        <v>131.89999999999998</v>
      </c>
      <c r="U116" s="2">
        <v>131.61199999999999</v>
      </c>
      <c r="V116" s="2">
        <v>107.98879999999998</v>
      </c>
      <c r="W116" s="2">
        <v>108.40399999999998</v>
      </c>
      <c r="X116" s="2">
        <v>25.2042</v>
      </c>
      <c r="Y116" s="2">
        <v>76.319999999999993</v>
      </c>
      <c r="Z116" s="2">
        <v>36.840000000000003</v>
      </c>
      <c r="AA116" s="2">
        <v>21.37</v>
      </c>
      <c r="AB116" s="2">
        <v>15.95</v>
      </c>
      <c r="AC116" s="2">
        <v>1.9</v>
      </c>
      <c r="AD116" s="2">
        <v>32.96</v>
      </c>
      <c r="AE116" s="2">
        <v>24.43</v>
      </c>
      <c r="AF116" s="2">
        <v>57.4</v>
      </c>
      <c r="AG116" s="2">
        <v>38.6</v>
      </c>
      <c r="AH116" s="2">
        <v>18.7</v>
      </c>
      <c r="AI116" s="2">
        <v>15.72</v>
      </c>
      <c r="AJ116" s="2">
        <v>3.21</v>
      </c>
      <c r="AK116" s="2">
        <v>1.595</v>
      </c>
      <c r="AL116" s="2">
        <v>1.474</v>
      </c>
      <c r="AM116" s="2">
        <v>0.98599999999999999</v>
      </c>
      <c r="AN116" s="2">
        <v>0.92400000000000004</v>
      </c>
      <c r="AO116" s="2">
        <v>2.3519999999999999</v>
      </c>
      <c r="AP116" s="2">
        <v>0.89500000000000002</v>
      </c>
      <c r="AQ116" s="2">
        <v>0.96599999999999997</v>
      </c>
      <c r="AR116" s="2">
        <v>2.02</v>
      </c>
      <c r="AS116" s="2">
        <v>25.94</v>
      </c>
      <c r="AT116" s="2">
        <v>478.4</v>
      </c>
      <c r="AU116" s="2">
        <v>1.123</v>
      </c>
      <c r="AV116" s="2">
        <v>1.98</v>
      </c>
      <c r="AW116" s="2">
        <v>0.19</v>
      </c>
      <c r="AX116" s="2">
        <v>0.215</v>
      </c>
      <c r="AY116" s="2">
        <v>0.59499999999999997</v>
      </c>
      <c r="AZ116" s="2">
        <v>0.36</v>
      </c>
      <c r="BA116" s="2">
        <v>0.81</v>
      </c>
      <c r="BB116" s="2">
        <v>5.7</v>
      </c>
      <c r="BC116" s="2">
        <v>72</v>
      </c>
      <c r="BD116" s="2">
        <v>1.6</v>
      </c>
      <c r="BE116" s="2">
        <v>5.5</v>
      </c>
      <c r="BF116" s="2">
        <v>29</v>
      </c>
      <c r="BG116" s="2">
        <v>88</v>
      </c>
      <c r="BH116" s="2">
        <v>509</v>
      </c>
      <c r="BI116" s="2">
        <v>167</v>
      </c>
      <c r="BJ116" s="2">
        <v>13</v>
      </c>
      <c r="BK116" s="2">
        <v>12.3</v>
      </c>
      <c r="BL116" s="2">
        <v>1.9</v>
      </c>
      <c r="BM116" s="2">
        <v>1</v>
      </c>
      <c r="BN116" s="2">
        <v>0</v>
      </c>
      <c r="BO116" s="2">
        <v>0.23</v>
      </c>
      <c r="BP116" s="2">
        <v>2.5499999999999998</v>
      </c>
      <c r="BQ116" s="2">
        <v>1.37</v>
      </c>
    </row>
    <row r="117" spans="1:69" x14ac:dyDescent="0.2">
      <c r="A117">
        <v>10</v>
      </c>
      <c r="B117">
        <v>275</v>
      </c>
      <c r="C117" t="s">
        <v>21</v>
      </c>
      <c r="D117" t="s">
        <v>7</v>
      </c>
      <c r="E117">
        <v>4</v>
      </c>
      <c r="F117" s="2">
        <v>282.11168316831629</v>
      </c>
      <c r="G117" s="2">
        <v>275.13450500556138</v>
      </c>
      <c r="H117" s="2">
        <v>230.09108910891072</v>
      </c>
      <c r="I117" s="2">
        <v>404.60956618464934</v>
      </c>
      <c r="J117" s="2">
        <v>512.20277227722704</v>
      </c>
      <c r="K117" s="2">
        <v>679.74407119021066</v>
      </c>
      <c r="L117" s="2">
        <v>-6.9771781627549103</v>
      </c>
      <c r="M117" s="2">
        <v>167.54129891298362</v>
      </c>
      <c r="N117" s="2">
        <v>1.3991</v>
      </c>
      <c r="O117" s="2">
        <v>18.489999999999998</v>
      </c>
      <c r="P117" s="2">
        <v>1.0821999999999998</v>
      </c>
      <c r="Q117" s="2">
        <v>3.2957647058823532</v>
      </c>
      <c r="R117" s="2">
        <v>5.8185483870967749</v>
      </c>
      <c r="S117" s="2">
        <v>16.663399999999999</v>
      </c>
      <c r="T117" s="2">
        <v>68.424941176470597</v>
      </c>
      <c r="U117" s="2">
        <v>63.333333333333329</v>
      </c>
      <c r="V117" s="2">
        <v>51.406281720430101</v>
      </c>
      <c r="W117" s="2">
        <v>53.975105882352949</v>
      </c>
      <c r="X117" s="2">
        <v>17.7456</v>
      </c>
      <c r="Y117" s="2">
        <v>84.01</v>
      </c>
      <c r="Z117" s="2">
        <v>47.99</v>
      </c>
      <c r="AA117" s="2">
        <v>14.34</v>
      </c>
      <c r="AB117" s="2">
        <v>17.59</v>
      </c>
      <c r="AC117" s="2">
        <v>3.8</v>
      </c>
      <c r="AD117" s="2">
        <v>18.27</v>
      </c>
      <c r="AE117" s="2">
        <v>19.309999999999999</v>
      </c>
      <c r="AF117" s="2">
        <v>37.6</v>
      </c>
      <c r="AG117" s="2">
        <v>42.5</v>
      </c>
      <c r="AH117" s="2">
        <v>-5</v>
      </c>
      <c r="AI117" s="2">
        <v>40.49</v>
      </c>
      <c r="AJ117" s="2">
        <v>5.94</v>
      </c>
      <c r="AK117" s="2">
        <v>1.782</v>
      </c>
      <c r="AL117" s="2">
        <v>0.84399999999999997</v>
      </c>
      <c r="AM117" s="2">
        <v>0.60299999999999998</v>
      </c>
      <c r="AN117" s="2">
        <v>0.47399999999999998</v>
      </c>
      <c r="AO117" s="2">
        <v>1.5049999999999999</v>
      </c>
      <c r="AP117" s="2">
        <v>0.38100000000000001</v>
      </c>
      <c r="AQ117" s="2">
        <v>1.0629999999999999</v>
      </c>
      <c r="AR117" s="2">
        <v>1.081</v>
      </c>
      <c r="AS117" s="2">
        <v>15.52</v>
      </c>
      <c r="AT117" s="2">
        <v>158.30000000000001</v>
      </c>
      <c r="AU117" s="2">
        <v>1.2869999999999999</v>
      </c>
      <c r="AV117" s="2">
        <v>0.35</v>
      </c>
      <c r="AW117" s="2">
        <v>0.219</v>
      </c>
      <c r="AX117" s="2">
        <v>0.221</v>
      </c>
      <c r="AY117" s="2">
        <v>0.56000000000000005</v>
      </c>
      <c r="AZ117" s="2">
        <v>0.76</v>
      </c>
      <c r="BA117" s="2">
        <v>0.92</v>
      </c>
      <c r="BB117" s="2">
        <v>7.2</v>
      </c>
      <c r="BC117" s="2">
        <v>85</v>
      </c>
      <c r="BD117" s="2">
        <v>1</v>
      </c>
      <c r="BE117" s="2">
        <v>6.4</v>
      </c>
      <c r="BF117" s="2">
        <v>57</v>
      </c>
      <c r="BG117" s="2">
        <v>72</v>
      </c>
      <c r="BH117" s="2">
        <v>866</v>
      </c>
      <c r="BI117" s="2">
        <v>197</v>
      </c>
      <c r="BJ117" s="2">
        <v>11</v>
      </c>
      <c r="BK117" s="2">
        <v>19.399999999999999</v>
      </c>
      <c r="BL117" s="2">
        <v>1.9</v>
      </c>
      <c r="BM117" s="2">
        <v>2.6</v>
      </c>
      <c r="BN117" s="2">
        <v>0</v>
      </c>
      <c r="BO117" s="2">
        <v>0.18</v>
      </c>
      <c r="BP117" s="2">
        <v>4.33</v>
      </c>
      <c r="BQ117" s="2">
        <v>1.62</v>
      </c>
    </row>
    <row r="118" spans="1:69" x14ac:dyDescent="0.2">
      <c r="A118">
        <v>20</v>
      </c>
      <c r="B118">
        <v>28</v>
      </c>
      <c r="C118" t="s">
        <v>17</v>
      </c>
      <c r="D118" t="s">
        <v>0</v>
      </c>
      <c r="E118">
        <v>1</v>
      </c>
      <c r="F118" s="2">
        <v>676.12714870395632</v>
      </c>
      <c r="G118" s="2">
        <v>828.99613899613882</v>
      </c>
      <c r="H118" s="2">
        <v>1106.2019099590721</v>
      </c>
      <c r="I118" s="2">
        <v>1123.5335907335907</v>
      </c>
      <c r="J118" s="2">
        <v>1782.3290586630283</v>
      </c>
      <c r="K118" s="2">
        <v>1952.5297297297295</v>
      </c>
      <c r="L118" s="2">
        <v>152.8689902921825</v>
      </c>
      <c r="M118" s="2">
        <v>170.20067106670126</v>
      </c>
      <c r="N118" s="2">
        <v>2.6486999999999998</v>
      </c>
      <c r="O118" s="2">
        <v>26.667999999999999</v>
      </c>
      <c r="P118" s="2">
        <v>0.68259999999999998</v>
      </c>
      <c r="Q118" s="2">
        <v>21.087</v>
      </c>
      <c r="R118" s="2">
        <v>14.2014</v>
      </c>
      <c r="S118" s="2">
        <v>14.5076</v>
      </c>
      <c r="T118" s="2">
        <v>69.567200000000014</v>
      </c>
      <c r="U118" s="2">
        <v>69.635600000000011</v>
      </c>
      <c r="V118" s="2">
        <v>68.646800000000013</v>
      </c>
      <c r="W118" s="2">
        <v>75.464000000000013</v>
      </c>
      <c r="X118" s="2">
        <v>15.190200000000001</v>
      </c>
      <c r="Y118" s="2">
        <v>69.19</v>
      </c>
      <c r="Z118" s="2">
        <v>45.69</v>
      </c>
      <c r="AA118" s="2">
        <v>13.93</v>
      </c>
      <c r="AB118" s="2">
        <v>7.61</v>
      </c>
      <c r="AC118" s="2">
        <v>1.82</v>
      </c>
      <c r="AD118" s="2">
        <v>23.62</v>
      </c>
      <c r="AE118" s="2">
        <v>19.670000000000002</v>
      </c>
      <c r="AF118" s="2">
        <v>43.3</v>
      </c>
      <c r="AG118" s="2">
        <v>35</v>
      </c>
      <c r="AH118" s="2">
        <v>8.3000000000000007</v>
      </c>
      <c r="AI118" s="2">
        <v>21.88</v>
      </c>
      <c r="AJ118" s="2">
        <v>4.0199999999999996</v>
      </c>
      <c r="AK118" s="2">
        <v>2.0419999999999998</v>
      </c>
      <c r="AL118" s="2">
        <v>1.2090000000000001</v>
      </c>
      <c r="AM118" s="2">
        <v>0.72599999999999998</v>
      </c>
      <c r="AN118" s="2">
        <v>0.59199999999999997</v>
      </c>
      <c r="AO118" s="2">
        <v>2.468</v>
      </c>
      <c r="AP118" s="2">
        <v>0.51700000000000002</v>
      </c>
      <c r="AQ118" s="2">
        <v>0.876</v>
      </c>
      <c r="AR118" s="2">
        <v>2.5550000000000002</v>
      </c>
      <c r="AS118" s="2">
        <v>26.04</v>
      </c>
      <c r="AT118" s="2">
        <v>596.5</v>
      </c>
      <c r="AU118" s="2">
        <v>1.1639999999999999</v>
      </c>
      <c r="AV118" s="2">
        <v>0.03</v>
      </c>
      <c r="AW118" s="2">
        <v>0.21199999999999999</v>
      </c>
      <c r="AX118" s="2">
        <v>0.19900000000000001</v>
      </c>
      <c r="AY118" s="2">
        <v>0.59</v>
      </c>
      <c r="AZ118" s="2">
        <v>0.22</v>
      </c>
      <c r="BA118" s="2">
        <v>0.8</v>
      </c>
      <c r="BB118" s="2">
        <v>9</v>
      </c>
      <c r="BC118" s="2">
        <v>86</v>
      </c>
      <c r="BD118" s="2">
        <v>1.2</v>
      </c>
      <c r="BE118" s="2">
        <v>6</v>
      </c>
      <c r="BF118" s="2">
        <v>53</v>
      </c>
      <c r="BG118" s="2">
        <v>79</v>
      </c>
      <c r="BH118" s="2">
        <v>1056</v>
      </c>
      <c r="BI118" s="2">
        <v>276</v>
      </c>
      <c r="BJ118" s="2">
        <v>15</v>
      </c>
      <c r="BK118" s="2">
        <v>94.3</v>
      </c>
      <c r="BL118" s="2">
        <v>4.0999999999999996</v>
      </c>
      <c r="BM118" s="2">
        <v>2.7</v>
      </c>
      <c r="BN118" s="2">
        <v>0</v>
      </c>
      <c r="BO118" s="2">
        <v>0.2</v>
      </c>
      <c r="BP118" s="2">
        <v>5.28</v>
      </c>
      <c r="BQ118" s="2">
        <v>2.27</v>
      </c>
    </row>
    <row r="119" spans="1:69" x14ac:dyDescent="0.2">
      <c r="A119">
        <v>20</v>
      </c>
      <c r="B119">
        <v>34</v>
      </c>
      <c r="C119" t="s">
        <v>17</v>
      </c>
      <c r="D119" t="s">
        <v>5</v>
      </c>
      <c r="E119">
        <v>2</v>
      </c>
      <c r="F119" s="2">
        <v>350.21832669322691</v>
      </c>
      <c r="G119" s="2">
        <v>374.29797570850207</v>
      </c>
      <c r="H119" s="2">
        <v>1367.0591235059758</v>
      </c>
      <c r="I119" s="2">
        <v>1309.0202429149795</v>
      </c>
      <c r="J119" s="2">
        <v>1717.2774501992026</v>
      </c>
      <c r="K119" s="2">
        <v>1683.3182186234815</v>
      </c>
      <c r="L119" s="2">
        <v>24.079649015275152</v>
      </c>
      <c r="M119" s="2">
        <v>-33.959231575721105</v>
      </c>
      <c r="N119" s="2">
        <v>3.8142999999999998</v>
      </c>
      <c r="O119" s="2">
        <v>77.634</v>
      </c>
      <c r="P119" s="2">
        <v>1.9531999999999998</v>
      </c>
      <c r="Q119" s="2">
        <v>0.83219999999999994</v>
      </c>
      <c r="R119" s="2">
        <v>1.3109999999999999</v>
      </c>
      <c r="S119" s="2">
        <v>52.96</v>
      </c>
      <c r="T119" s="2">
        <v>224.40860000000001</v>
      </c>
      <c r="U119" s="2">
        <v>266.70860000000005</v>
      </c>
      <c r="V119" s="2">
        <v>213.10640000000001</v>
      </c>
      <c r="W119" s="2">
        <v>170.32760000000002</v>
      </c>
      <c r="X119" s="2">
        <v>54.913200000000003</v>
      </c>
      <c r="Y119" s="2">
        <v>54.47</v>
      </c>
      <c r="Z119" s="2">
        <v>21.68</v>
      </c>
      <c r="AA119" s="2">
        <v>18.13</v>
      </c>
      <c r="AB119" s="2">
        <v>12.45</v>
      </c>
      <c r="AC119" s="2">
        <v>1.91</v>
      </c>
      <c r="AD119" s="2">
        <v>22.63</v>
      </c>
      <c r="AE119" s="2">
        <v>18.059999999999999</v>
      </c>
      <c r="AF119" s="2">
        <v>40.700000000000003</v>
      </c>
      <c r="AG119" s="2">
        <v>27.6</v>
      </c>
      <c r="AH119" s="2">
        <v>13.1</v>
      </c>
      <c r="AI119" s="2">
        <v>11.14</v>
      </c>
      <c r="AJ119" s="2">
        <v>2.64</v>
      </c>
      <c r="AK119" s="2">
        <v>1.3879999999999999</v>
      </c>
      <c r="AL119" s="2">
        <v>1.4339999999999999</v>
      </c>
      <c r="AM119" s="2">
        <v>1.022</v>
      </c>
      <c r="AN119" s="2">
        <v>1.0329999999999999</v>
      </c>
      <c r="AO119" s="2">
        <v>1.9910000000000001</v>
      </c>
      <c r="AP119" s="2">
        <v>1.044</v>
      </c>
      <c r="AQ119" s="2">
        <v>0.68899999999999995</v>
      </c>
      <c r="AR119" s="2">
        <v>3.6819999999999999</v>
      </c>
      <c r="AS119" s="2">
        <v>76.03</v>
      </c>
      <c r="AT119" s="2">
        <v>706.6</v>
      </c>
      <c r="AU119" s="2">
        <v>0.58399999999999996</v>
      </c>
      <c r="AV119" s="2">
        <v>1.45</v>
      </c>
      <c r="AW119" s="2">
        <v>0.28299999999999997</v>
      </c>
      <c r="AX119" s="2">
        <v>0.25</v>
      </c>
      <c r="AY119" s="2">
        <v>0.46700000000000003</v>
      </c>
      <c r="AZ119" s="2">
        <v>0.71</v>
      </c>
      <c r="BA119" s="2">
        <v>0.55000000000000004</v>
      </c>
      <c r="BB119" s="2">
        <v>3.3</v>
      </c>
      <c r="BC119" s="2">
        <v>19</v>
      </c>
      <c r="BD119" s="2">
        <v>2.6</v>
      </c>
      <c r="BE119" s="2">
        <v>4.9000000000000004</v>
      </c>
      <c r="BF119" s="2">
        <v>10</v>
      </c>
      <c r="BG119" s="2">
        <v>75</v>
      </c>
      <c r="BH119" s="2">
        <v>43</v>
      </c>
      <c r="BI119" s="2">
        <v>25</v>
      </c>
      <c r="BJ119" s="2">
        <v>34</v>
      </c>
      <c r="BK119" s="2">
        <v>115.1</v>
      </c>
      <c r="BL119" s="2">
        <v>1.2</v>
      </c>
      <c r="BM119" s="2">
        <v>1.2</v>
      </c>
      <c r="BN119" s="2">
        <v>0</v>
      </c>
      <c r="BO119" s="2">
        <v>0.19</v>
      </c>
      <c r="BP119" s="2">
        <v>0.22</v>
      </c>
      <c r="BQ119" s="2">
        <v>0.21</v>
      </c>
    </row>
    <row r="120" spans="1:69" x14ac:dyDescent="0.2">
      <c r="A120">
        <v>20</v>
      </c>
      <c r="B120">
        <v>107</v>
      </c>
      <c r="C120" t="s">
        <v>17</v>
      </c>
      <c r="D120" t="s">
        <v>0</v>
      </c>
      <c r="E120">
        <v>4</v>
      </c>
      <c r="F120" s="2">
        <v>566.56161107614844</v>
      </c>
      <c r="G120" s="2">
        <v>748.88470588235282</v>
      </c>
      <c r="H120" s="2">
        <v>1056.818628067967</v>
      </c>
      <c r="I120" s="2">
        <v>1077.76</v>
      </c>
      <c r="J120" s="2">
        <v>1623.3802391441154</v>
      </c>
      <c r="K120" s="2">
        <v>1826.6447058823528</v>
      </c>
      <c r="L120" s="2">
        <v>182.32309480620438</v>
      </c>
      <c r="M120" s="2">
        <v>203.26446673823739</v>
      </c>
      <c r="N120" s="2">
        <v>3.8174000000000001</v>
      </c>
      <c r="O120" s="2">
        <v>40.125</v>
      </c>
      <c r="P120" s="2">
        <v>0.9840000000000001</v>
      </c>
      <c r="Q120" s="2">
        <v>5.2158000000000007</v>
      </c>
      <c r="R120" s="2">
        <v>8.9261999999999997</v>
      </c>
      <c r="S120" s="2">
        <v>38.008800000000001</v>
      </c>
      <c r="T120" s="2">
        <v>227.42060000000001</v>
      </c>
      <c r="U120" s="2">
        <v>243.41060000000002</v>
      </c>
      <c r="V120" s="2">
        <v>213.34399999999999</v>
      </c>
      <c r="W120" s="2">
        <v>193.64359999999999</v>
      </c>
      <c r="X120" s="2">
        <v>38.992800000000003</v>
      </c>
      <c r="Y120" s="2">
        <v>71.87</v>
      </c>
      <c r="Z120" s="2">
        <v>45.24</v>
      </c>
      <c r="AA120" s="2">
        <v>16.48</v>
      </c>
      <c r="AB120" s="2">
        <v>8.32</v>
      </c>
      <c r="AC120" s="2">
        <v>1.69</v>
      </c>
      <c r="AD120" s="2">
        <v>40.1</v>
      </c>
      <c r="AE120" s="2">
        <v>17.39</v>
      </c>
      <c r="AF120" s="2">
        <v>57.5</v>
      </c>
      <c r="AG120" s="2">
        <v>36.4</v>
      </c>
      <c r="AH120" s="2">
        <v>21.1</v>
      </c>
      <c r="AI120" s="2">
        <v>10.96</v>
      </c>
      <c r="AJ120" s="2">
        <v>3.42</v>
      </c>
      <c r="AK120" s="2">
        <v>1.9710000000000001</v>
      </c>
      <c r="AL120" s="2">
        <v>1.78</v>
      </c>
      <c r="AM120" s="2">
        <v>0.93100000000000005</v>
      </c>
      <c r="AN120" s="2">
        <v>0.90300000000000002</v>
      </c>
      <c r="AO120" s="2">
        <v>3.5089999999999999</v>
      </c>
      <c r="AP120" s="2">
        <v>0.88600000000000001</v>
      </c>
      <c r="AQ120" s="2">
        <v>0.91</v>
      </c>
      <c r="AR120" s="2">
        <v>3.3260000000000001</v>
      </c>
      <c r="AS120" s="2">
        <v>36.82</v>
      </c>
      <c r="AT120" s="2">
        <v>739.7</v>
      </c>
      <c r="AU120" s="2">
        <v>1.0349999999999999</v>
      </c>
      <c r="AV120" s="2">
        <v>0.81</v>
      </c>
      <c r="AW120" s="2">
        <v>0.251</v>
      </c>
      <c r="AX120" s="2">
        <v>0.27400000000000002</v>
      </c>
      <c r="AY120" s="2">
        <v>0.47499999999999998</v>
      </c>
      <c r="AZ120" s="2" t="s">
        <v>14</v>
      </c>
      <c r="BA120" s="2">
        <v>0.66</v>
      </c>
      <c r="BB120" s="2">
        <v>7.7</v>
      </c>
      <c r="BC120" s="2">
        <v>86</v>
      </c>
      <c r="BD120" s="2">
        <v>1.1000000000000001</v>
      </c>
      <c r="BE120" s="2">
        <v>6</v>
      </c>
      <c r="BF120" s="2">
        <v>39</v>
      </c>
      <c r="BG120" s="2">
        <v>175</v>
      </c>
      <c r="BH120" s="2">
        <v>844</v>
      </c>
      <c r="BI120" s="2">
        <v>240</v>
      </c>
      <c r="BJ120" s="2">
        <v>11</v>
      </c>
      <c r="BK120" s="2">
        <v>117</v>
      </c>
      <c r="BL120" s="2">
        <v>2.4</v>
      </c>
      <c r="BM120" s="2">
        <v>2.5</v>
      </c>
      <c r="BN120" s="2">
        <v>0</v>
      </c>
      <c r="BO120" s="2">
        <v>0.45</v>
      </c>
      <c r="BP120" s="2">
        <v>4.22</v>
      </c>
      <c r="BQ120" s="2">
        <v>1.97</v>
      </c>
    </row>
    <row r="121" spans="1:69" x14ac:dyDescent="0.2">
      <c r="A121">
        <v>20</v>
      </c>
      <c r="B121">
        <v>108</v>
      </c>
      <c r="C121" t="s">
        <v>17</v>
      </c>
      <c r="D121" t="s">
        <v>5</v>
      </c>
      <c r="E121">
        <v>4</v>
      </c>
      <c r="F121" s="2">
        <v>614.29634551495008</v>
      </c>
      <c r="G121" s="2">
        <v>635.07146529562965</v>
      </c>
      <c r="H121" s="2">
        <v>745.21196013289034</v>
      </c>
      <c r="I121" s="2">
        <v>884.42467866323886</v>
      </c>
      <c r="J121" s="2">
        <v>1359.5083056478404</v>
      </c>
      <c r="K121" s="2">
        <v>1519.4961439588685</v>
      </c>
      <c r="L121" s="2">
        <v>20.775119780679574</v>
      </c>
      <c r="M121" s="2">
        <v>159.9878383110281</v>
      </c>
      <c r="N121" s="2">
        <v>3.4727999999999999</v>
      </c>
      <c r="O121" s="2">
        <v>45.533000000000001</v>
      </c>
      <c r="P121" s="2">
        <v>0.97260000000000002</v>
      </c>
      <c r="Q121" s="2">
        <v>2.4125999999999999</v>
      </c>
      <c r="R121" s="2">
        <v>2.355</v>
      </c>
      <c r="S121" s="2">
        <v>26.291999999999998</v>
      </c>
      <c r="T121" s="2">
        <v>134.58079999999998</v>
      </c>
      <c r="U121" s="2">
        <v>139.214</v>
      </c>
      <c r="V121" s="2">
        <v>114.30439999999999</v>
      </c>
      <c r="W121" s="2">
        <v>109.72879999999998</v>
      </c>
      <c r="X121" s="2">
        <v>27.264599999999998</v>
      </c>
      <c r="Y121" s="2">
        <v>67.25</v>
      </c>
      <c r="Z121" s="2">
        <v>41.15</v>
      </c>
      <c r="AA121" s="2">
        <v>16.809999999999999</v>
      </c>
      <c r="AB121" s="2">
        <v>7.83</v>
      </c>
      <c r="AC121" s="2">
        <v>1.33</v>
      </c>
      <c r="AD121" s="2">
        <v>39.19</v>
      </c>
      <c r="AE121" s="2">
        <v>17.8</v>
      </c>
      <c r="AF121" s="2">
        <v>57</v>
      </c>
      <c r="AG121" s="2">
        <v>34.1</v>
      </c>
      <c r="AH121" s="2">
        <v>22.9</v>
      </c>
      <c r="AI121" s="2">
        <v>8.01</v>
      </c>
      <c r="AJ121" s="2">
        <v>2.25</v>
      </c>
      <c r="AK121" s="2">
        <v>1.9339999999999999</v>
      </c>
      <c r="AL121" s="2">
        <v>1.86</v>
      </c>
      <c r="AM121" s="2">
        <v>0.98299999999999998</v>
      </c>
      <c r="AN121" s="2">
        <v>0.96199999999999997</v>
      </c>
      <c r="AO121" s="2">
        <v>3.5960000000000001</v>
      </c>
      <c r="AP121" s="2">
        <v>0.95199999999999996</v>
      </c>
      <c r="AQ121" s="2">
        <v>0.85099999999999998</v>
      </c>
      <c r="AR121" s="2">
        <v>3.2829999999999999</v>
      </c>
      <c r="AS121" s="2">
        <v>44.27</v>
      </c>
      <c r="AT121" s="2">
        <v>657.6</v>
      </c>
      <c r="AU121" s="2">
        <v>0.85299999999999998</v>
      </c>
      <c r="AV121" s="2">
        <v>0.76</v>
      </c>
      <c r="AW121" s="2">
        <v>0.247</v>
      </c>
      <c r="AX121" s="2">
        <v>0.23699999999999999</v>
      </c>
      <c r="AY121" s="2">
        <v>0.51500000000000001</v>
      </c>
      <c r="AZ121" s="2">
        <v>0.66</v>
      </c>
      <c r="BA121" s="2">
        <v>0.68</v>
      </c>
      <c r="BB121" s="2">
        <v>10</v>
      </c>
      <c r="BC121" s="2">
        <v>88</v>
      </c>
      <c r="BD121" s="2">
        <v>1.2</v>
      </c>
      <c r="BE121" s="2">
        <v>6.3</v>
      </c>
      <c r="BF121" s="2">
        <v>11</v>
      </c>
      <c r="BG121" s="2">
        <v>216</v>
      </c>
      <c r="BH121" s="2">
        <v>1310</v>
      </c>
      <c r="BI121" s="2">
        <v>205</v>
      </c>
      <c r="BJ121" s="2">
        <v>8</v>
      </c>
      <c r="BK121" s="2">
        <v>128.5</v>
      </c>
      <c r="BL121" s="2">
        <v>1.5</v>
      </c>
      <c r="BM121" s="2">
        <v>1.9</v>
      </c>
      <c r="BN121" s="2">
        <v>0</v>
      </c>
      <c r="BO121" s="2">
        <v>0.55000000000000004</v>
      </c>
      <c r="BP121" s="2">
        <v>6.55</v>
      </c>
      <c r="BQ121" s="2">
        <v>1.69</v>
      </c>
    </row>
    <row r="122" spans="1:69" x14ac:dyDescent="0.2">
      <c r="A122">
        <v>10</v>
      </c>
      <c r="B122">
        <v>113</v>
      </c>
      <c r="C122" t="s">
        <v>17</v>
      </c>
      <c r="D122" t="s">
        <v>7</v>
      </c>
      <c r="E122">
        <v>3</v>
      </c>
      <c r="F122" s="2">
        <v>147.37006673021918</v>
      </c>
      <c r="G122" s="2">
        <v>242.3700934579438</v>
      </c>
      <c r="H122" s="2">
        <v>307.7433746425171</v>
      </c>
      <c r="I122" s="2">
        <v>325.78317757009347</v>
      </c>
      <c r="J122" s="2">
        <v>455.11344137273625</v>
      </c>
      <c r="K122" s="2">
        <v>568.15327102803724</v>
      </c>
      <c r="L122" s="2">
        <v>95.000026727724617</v>
      </c>
      <c r="M122" s="2">
        <v>113.03982965530099</v>
      </c>
      <c r="N122" s="2">
        <v>1.6661999999999999</v>
      </c>
      <c r="O122" s="2">
        <v>16.807000000000002</v>
      </c>
      <c r="P122" s="2">
        <v>0.89600000000000002</v>
      </c>
      <c r="Q122" s="2">
        <v>12.269750889679715</v>
      </c>
      <c r="R122" s="2">
        <v>18.8564039408867</v>
      </c>
      <c r="S122" s="2">
        <v>28.691800000000001</v>
      </c>
      <c r="T122" s="2">
        <v>50.601660735468563</v>
      </c>
      <c r="U122" s="2">
        <v>48.694088669950744</v>
      </c>
      <c r="V122" s="2">
        <v>37.962692610837436</v>
      </c>
      <c r="W122" s="2">
        <v>33.283611625148275</v>
      </c>
      <c r="X122" s="2">
        <v>29.587800000000001</v>
      </c>
      <c r="Y122" s="2">
        <v>85.1</v>
      </c>
      <c r="Z122" s="2">
        <v>47.67</v>
      </c>
      <c r="AA122" s="2">
        <v>24.44</v>
      </c>
      <c r="AB122" s="2">
        <v>10.94</v>
      </c>
      <c r="AC122" s="2">
        <v>1.86</v>
      </c>
      <c r="AD122" s="2">
        <v>15.66</v>
      </c>
      <c r="AE122" s="2">
        <v>28.42</v>
      </c>
      <c r="AF122" s="2">
        <v>44.1</v>
      </c>
      <c r="AG122" s="2">
        <v>43.1</v>
      </c>
      <c r="AH122" s="2">
        <v>1</v>
      </c>
      <c r="AI122" s="2">
        <v>34.229999999999997</v>
      </c>
      <c r="AJ122" s="2">
        <v>6.79</v>
      </c>
      <c r="AK122" s="2">
        <v>1.81</v>
      </c>
      <c r="AL122" s="2">
        <v>0.80100000000000005</v>
      </c>
      <c r="AM122" s="2">
        <v>0.61099999999999999</v>
      </c>
      <c r="AN122" s="2">
        <v>0.443</v>
      </c>
      <c r="AO122" s="2">
        <v>1.45</v>
      </c>
      <c r="AP122" s="2">
        <v>0.32900000000000001</v>
      </c>
      <c r="AQ122" s="2">
        <v>1.077</v>
      </c>
      <c r="AR122" s="2">
        <v>1.5880000000000001</v>
      </c>
      <c r="AS122" s="2">
        <v>15.66</v>
      </c>
      <c r="AT122" s="2">
        <v>106.5</v>
      </c>
      <c r="AU122" s="2">
        <v>1.2709999999999999</v>
      </c>
      <c r="AV122" s="2">
        <v>0.98</v>
      </c>
      <c r="AW122" s="2">
        <v>0.47499999999999998</v>
      </c>
      <c r="AX122" s="2">
        <v>0.25900000000000001</v>
      </c>
      <c r="AY122" s="2">
        <v>0.26500000000000001</v>
      </c>
      <c r="AZ122" s="2">
        <v>0.41</v>
      </c>
      <c r="BA122" s="2">
        <v>0.95</v>
      </c>
      <c r="BB122" s="2">
        <v>6.7</v>
      </c>
      <c r="BC122" s="2">
        <v>69</v>
      </c>
      <c r="BD122" s="2">
        <v>2.1</v>
      </c>
      <c r="BE122" s="2">
        <v>5.3</v>
      </c>
      <c r="BF122" s="2">
        <v>76</v>
      </c>
      <c r="BG122" s="2">
        <v>255</v>
      </c>
      <c r="BH122" s="2">
        <v>590</v>
      </c>
      <c r="BI122" s="2">
        <v>130</v>
      </c>
      <c r="BJ122" s="2">
        <v>15</v>
      </c>
      <c r="BK122" s="2">
        <v>201.4</v>
      </c>
      <c r="BL122" s="2">
        <v>2.2000000000000002</v>
      </c>
      <c r="BM122" s="2">
        <v>1.5</v>
      </c>
      <c r="BN122" s="2">
        <v>0.1</v>
      </c>
      <c r="BO122" s="2">
        <v>0.65</v>
      </c>
      <c r="BP122" s="2">
        <v>2.95</v>
      </c>
      <c r="BQ122" s="2">
        <v>1.07</v>
      </c>
    </row>
    <row r="123" spans="1:69" x14ac:dyDescent="0.2">
      <c r="A123">
        <v>20</v>
      </c>
      <c r="B123">
        <v>127</v>
      </c>
      <c r="C123" t="s">
        <v>17</v>
      </c>
      <c r="D123" t="s">
        <v>5</v>
      </c>
      <c r="E123">
        <v>1</v>
      </c>
      <c r="F123" s="2">
        <v>374.5336747759282</v>
      </c>
      <c r="G123" s="2">
        <v>311.58012253233488</v>
      </c>
      <c r="H123" s="2">
        <v>1022.6903969270165</v>
      </c>
      <c r="I123" s="2">
        <v>1054.4201497617426</v>
      </c>
      <c r="J123" s="2">
        <v>1397.2240717029447</v>
      </c>
      <c r="K123" s="2">
        <v>1366.0002722940774</v>
      </c>
      <c r="L123" s="2">
        <v>-62.953552243593322</v>
      </c>
      <c r="M123" s="2">
        <v>-31.223799408867308</v>
      </c>
      <c r="N123" s="2">
        <v>2.5185000000000004</v>
      </c>
      <c r="O123" s="2">
        <v>43.811999999999998</v>
      </c>
      <c r="P123" s="2">
        <v>1.6953999999999998</v>
      </c>
      <c r="Q123" s="2">
        <v>2.3262</v>
      </c>
      <c r="R123" s="2">
        <v>1.4657999999999998</v>
      </c>
      <c r="S123" s="2">
        <v>29.194600000000001</v>
      </c>
      <c r="T123" s="2">
        <v>146.61199999999999</v>
      </c>
      <c r="U123" s="2">
        <v>164.30840000000001</v>
      </c>
      <c r="V123" s="2">
        <v>134.88420000000002</v>
      </c>
      <c r="W123" s="2">
        <v>118.04819999999999</v>
      </c>
      <c r="X123" s="2">
        <v>30.89</v>
      </c>
      <c r="Y123" s="2">
        <v>63.44</v>
      </c>
      <c r="Z123" s="2">
        <v>33.04</v>
      </c>
      <c r="AA123" s="2">
        <v>18.559999999999999</v>
      </c>
      <c r="AB123" s="2">
        <v>10.220000000000001</v>
      </c>
      <c r="AC123" s="2">
        <v>1.49</v>
      </c>
      <c r="AD123" s="2">
        <v>30.51</v>
      </c>
      <c r="AE123" s="2">
        <v>20.43</v>
      </c>
      <c r="AF123" s="2">
        <v>50.9</v>
      </c>
      <c r="AG123" s="2">
        <v>32.1</v>
      </c>
      <c r="AH123" s="2">
        <v>18.8</v>
      </c>
      <c r="AI123" s="2">
        <v>9.91</v>
      </c>
      <c r="AJ123" s="2">
        <v>2.59</v>
      </c>
      <c r="AK123" s="2">
        <v>1.7050000000000001</v>
      </c>
      <c r="AL123" s="2">
        <v>1.609</v>
      </c>
      <c r="AM123" s="2">
        <v>0.98699999999999999</v>
      </c>
      <c r="AN123" s="2">
        <v>0.94299999999999995</v>
      </c>
      <c r="AO123" s="2">
        <v>2.7440000000000002</v>
      </c>
      <c r="AP123" s="2">
        <v>0.92300000000000004</v>
      </c>
      <c r="AQ123" s="2">
        <v>0.80300000000000005</v>
      </c>
      <c r="AR123" s="2">
        <v>2.3759999999999999</v>
      </c>
      <c r="AS123" s="2">
        <v>42.32</v>
      </c>
      <c r="AT123" s="2">
        <v>542.1</v>
      </c>
      <c r="AU123" s="2">
        <v>0.83799999999999997</v>
      </c>
      <c r="AV123" s="2">
        <v>0.15</v>
      </c>
      <c r="AW123" s="2">
        <v>0.27400000000000002</v>
      </c>
      <c r="AX123" s="2">
        <v>0.22800000000000001</v>
      </c>
      <c r="AY123" s="2">
        <v>0.498</v>
      </c>
      <c r="AZ123" s="2">
        <v>0.51</v>
      </c>
      <c r="BA123" s="2">
        <v>0.67</v>
      </c>
      <c r="BB123" s="2">
        <v>5.4</v>
      </c>
      <c r="BC123" s="2">
        <v>52</v>
      </c>
      <c r="BD123" s="2">
        <v>2.6</v>
      </c>
      <c r="BE123" s="2">
        <v>5</v>
      </c>
      <c r="BF123" s="2">
        <v>10</v>
      </c>
      <c r="BG123" s="2">
        <v>150</v>
      </c>
      <c r="BH123" s="2">
        <v>272</v>
      </c>
      <c r="BI123" s="2">
        <v>130</v>
      </c>
      <c r="BJ123" s="2">
        <v>17</v>
      </c>
      <c r="BK123" s="2">
        <v>125.8</v>
      </c>
      <c r="BL123" s="2">
        <v>2.5</v>
      </c>
      <c r="BM123" s="2">
        <v>1.9</v>
      </c>
      <c r="BN123" s="2">
        <v>0</v>
      </c>
      <c r="BO123" s="2">
        <v>0.38</v>
      </c>
      <c r="BP123" s="2">
        <v>1.36</v>
      </c>
      <c r="BQ123" s="2">
        <v>1.07</v>
      </c>
    </row>
    <row r="124" spans="1:69" x14ac:dyDescent="0.2">
      <c r="A124">
        <v>10</v>
      </c>
      <c r="B124">
        <v>178</v>
      </c>
      <c r="C124" t="s">
        <v>17</v>
      </c>
      <c r="D124" t="s">
        <v>7</v>
      </c>
      <c r="E124">
        <v>2</v>
      </c>
      <c r="F124" s="2">
        <v>202.9417484008525</v>
      </c>
      <c r="G124" s="2">
        <v>242.88603597017112</v>
      </c>
      <c r="H124" s="2">
        <v>386.0632835820893</v>
      </c>
      <c r="I124" s="2">
        <v>288.53797338792214</v>
      </c>
      <c r="J124" s="2">
        <v>589.00503198294177</v>
      </c>
      <c r="K124" s="2">
        <v>531.42400935809326</v>
      </c>
      <c r="L124" s="2">
        <v>39.944287569318618</v>
      </c>
      <c r="M124" s="2">
        <v>-57.581022624848515</v>
      </c>
      <c r="N124" s="2">
        <v>1.2895000000000001</v>
      </c>
      <c r="O124" s="2">
        <v>15.172000000000001</v>
      </c>
      <c r="P124" s="2">
        <v>0.60599999999999998</v>
      </c>
      <c r="Q124" s="2">
        <v>6.1698393077873925</v>
      </c>
      <c r="R124" s="2">
        <v>16.087662337662341</v>
      </c>
      <c r="S124" s="2">
        <v>14.668799999999999</v>
      </c>
      <c r="T124" s="2">
        <v>34.459826946847961</v>
      </c>
      <c r="U124" s="2">
        <v>24.852813852813853</v>
      </c>
      <c r="V124" s="2">
        <v>25.665676190476191</v>
      </c>
      <c r="W124" s="2">
        <v>25.354866254635354</v>
      </c>
      <c r="X124" s="2">
        <v>15.274799999999999</v>
      </c>
      <c r="Y124" s="2">
        <v>82.07</v>
      </c>
      <c r="Z124" s="2">
        <v>48.32</v>
      </c>
      <c r="AA124" s="2">
        <v>18.25</v>
      </c>
      <c r="AB124" s="2">
        <v>12.35</v>
      </c>
      <c r="AC124" s="2">
        <v>2.95</v>
      </c>
      <c r="AD124" s="2">
        <v>11.02</v>
      </c>
      <c r="AE124" s="2">
        <v>20.83</v>
      </c>
      <c r="AF124" s="2">
        <v>31.9</v>
      </c>
      <c r="AG124" s="2">
        <v>41.6</v>
      </c>
      <c r="AH124" s="2">
        <v>-9.6999999999999993</v>
      </c>
      <c r="AI124" s="2">
        <v>43.98</v>
      </c>
      <c r="AJ124" s="2">
        <v>6.24</v>
      </c>
      <c r="AK124" s="2">
        <v>1.8560000000000001</v>
      </c>
      <c r="AL124" s="2">
        <v>0.628</v>
      </c>
      <c r="AM124" s="2">
        <v>0.47799999999999998</v>
      </c>
      <c r="AN124" s="2">
        <v>0.33900000000000002</v>
      </c>
      <c r="AO124" s="2">
        <v>1.1659999999999999</v>
      </c>
      <c r="AP124" s="2">
        <v>0.22800000000000001</v>
      </c>
      <c r="AQ124" s="2">
        <v>1.0389999999999999</v>
      </c>
      <c r="AR124" s="2">
        <v>1.355</v>
      </c>
      <c r="AS124" s="2">
        <v>16.989999999999998</v>
      </c>
      <c r="AT124" s="2">
        <v>162.5</v>
      </c>
      <c r="AU124" s="2">
        <v>1.196</v>
      </c>
      <c r="AV124" s="2">
        <v>1.32</v>
      </c>
      <c r="AW124" s="2">
        <v>0.23799999999999999</v>
      </c>
      <c r="AX124" s="2">
        <v>0.217</v>
      </c>
      <c r="AY124" s="2">
        <v>0.54500000000000004</v>
      </c>
      <c r="AZ124" s="2">
        <v>0.92</v>
      </c>
      <c r="BA124" s="2">
        <v>0.87</v>
      </c>
      <c r="BB124" s="2">
        <v>9.6</v>
      </c>
      <c r="BC124" s="2">
        <v>85</v>
      </c>
      <c r="BD124" s="2">
        <v>1.5</v>
      </c>
      <c r="BE124" s="2">
        <v>6.1</v>
      </c>
      <c r="BF124" s="2">
        <v>60</v>
      </c>
      <c r="BG124" s="2">
        <v>90</v>
      </c>
      <c r="BH124" s="2">
        <v>1180</v>
      </c>
      <c r="BI124" s="2">
        <v>242</v>
      </c>
      <c r="BJ124" s="2">
        <v>21</v>
      </c>
      <c r="BK124" s="2">
        <v>157.69999999999999</v>
      </c>
      <c r="BL124" s="2">
        <v>2.6</v>
      </c>
      <c r="BM124" s="2">
        <v>4.4000000000000004</v>
      </c>
      <c r="BN124" s="2">
        <v>0</v>
      </c>
      <c r="BO124" s="2">
        <v>0.23</v>
      </c>
      <c r="BP124" s="2">
        <v>5.9</v>
      </c>
      <c r="BQ124" s="2">
        <v>1.99</v>
      </c>
    </row>
    <row r="125" spans="1:69" x14ac:dyDescent="0.2">
      <c r="A125">
        <v>10</v>
      </c>
      <c r="B125">
        <v>217</v>
      </c>
      <c r="C125" t="s">
        <v>17</v>
      </c>
      <c r="D125" t="s">
        <v>7</v>
      </c>
      <c r="E125">
        <v>1</v>
      </c>
      <c r="F125" s="2">
        <v>196.20337711069351</v>
      </c>
      <c r="G125" s="2">
        <v>223.38423746161683</v>
      </c>
      <c r="H125" s="2">
        <v>453.54258911819852</v>
      </c>
      <c r="I125" s="2">
        <v>358.34554759467738</v>
      </c>
      <c r="J125" s="2">
        <v>649.74596622889203</v>
      </c>
      <c r="K125" s="2">
        <v>581.72978505629419</v>
      </c>
      <c r="L125" s="2">
        <v>27.180860350923325</v>
      </c>
      <c r="M125" s="2">
        <v>-68.01618117259784</v>
      </c>
      <c r="N125" s="2" t="s">
        <v>14</v>
      </c>
      <c r="O125" s="2" t="s">
        <v>14</v>
      </c>
      <c r="P125" s="2" t="s">
        <v>14</v>
      </c>
      <c r="Q125" s="2">
        <v>1.9460698689956328</v>
      </c>
      <c r="R125" s="2">
        <v>2.0671673819742482</v>
      </c>
      <c r="S125" s="2" t="s">
        <v>14</v>
      </c>
      <c r="T125" s="2">
        <v>29.920960698689957</v>
      </c>
      <c r="U125" s="2">
        <v>24.233905579399138</v>
      </c>
      <c r="V125" s="2" t="s">
        <v>14</v>
      </c>
      <c r="W125" s="2" t="s">
        <v>14</v>
      </c>
      <c r="X125" s="2" t="s">
        <v>14</v>
      </c>
      <c r="Y125" s="2">
        <v>84.35</v>
      </c>
      <c r="Z125" s="2">
        <v>51.38</v>
      </c>
      <c r="AA125" s="2">
        <v>15.82</v>
      </c>
      <c r="AB125" s="2">
        <v>13.5</v>
      </c>
      <c r="AC125" s="2">
        <v>3.43</v>
      </c>
      <c r="AD125" s="2">
        <v>4.4000000000000004</v>
      </c>
      <c r="AE125" s="2">
        <v>16.28</v>
      </c>
      <c r="AF125" s="2">
        <v>20.7</v>
      </c>
      <c r="AG125" s="2">
        <v>42.7</v>
      </c>
      <c r="AH125" s="2">
        <v>-22</v>
      </c>
      <c r="AI125" s="2">
        <v>56.52</v>
      </c>
      <c r="AJ125" s="2">
        <v>7.15</v>
      </c>
      <c r="AK125" s="2">
        <v>1.8939999999999999</v>
      </c>
      <c r="AL125" s="2">
        <v>0.375</v>
      </c>
      <c r="AM125" s="2">
        <v>0.308</v>
      </c>
      <c r="AN125" s="2">
        <v>0.19800000000000001</v>
      </c>
      <c r="AO125" s="2">
        <v>0.71</v>
      </c>
      <c r="AP125" s="2">
        <v>8.5999999999999993E-2</v>
      </c>
      <c r="AQ125" s="2">
        <v>1.0680000000000001</v>
      </c>
      <c r="AR125" s="2">
        <v>1.0289999999999999</v>
      </c>
      <c r="AS125" s="2">
        <v>12.59</v>
      </c>
      <c r="AT125" s="2">
        <v>104.9</v>
      </c>
      <c r="AU125" s="2">
        <v>1.2110000000000001</v>
      </c>
      <c r="AV125" s="2">
        <v>0.59</v>
      </c>
      <c r="AW125" s="2">
        <v>0.17399999999999999</v>
      </c>
      <c r="AX125" s="2">
        <v>0.23100000000000001</v>
      </c>
      <c r="AY125" s="2">
        <v>0.59499999999999997</v>
      </c>
      <c r="AZ125" s="2">
        <v>0.51</v>
      </c>
      <c r="BA125" s="2">
        <v>0.95</v>
      </c>
      <c r="BB125" s="2">
        <v>9.4</v>
      </c>
      <c r="BC125" s="2">
        <v>91</v>
      </c>
      <c r="BD125" s="2">
        <v>0.9</v>
      </c>
      <c r="BE125" s="2">
        <v>6.6</v>
      </c>
      <c r="BF125" s="2">
        <v>63</v>
      </c>
      <c r="BG125" s="2">
        <v>91</v>
      </c>
      <c r="BH125" s="2">
        <v>1264</v>
      </c>
      <c r="BI125" s="2">
        <v>244</v>
      </c>
      <c r="BJ125" s="2">
        <v>23</v>
      </c>
      <c r="BK125" s="2">
        <v>195.4</v>
      </c>
      <c r="BL125" s="2">
        <v>2.4</v>
      </c>
      <c r="BM125" s="2">
        <v>3.9</v>
      </c>
      <c r="BN125" s="2">
        <v>0.1</v>
      </c>
      <c r="BO125" s="2">
        <v>0.23</v>
      </c>
      <c r="BP125" s="2">
        <v>6.32</v>
      </c>
      <c r="BQ125" s="2">
        <v>2.0099999999999998</v>
      </c>
    </row>
    <row r="126" spans="1:69" x14ac:dyDescent="0.2">
      <c r="A126">
        <v>20</v>
      </c>
      <c r="B126">
        <v>225</v>
      </c>
      <c r="C126" t="s">
        <v>17</v>
      </c>
      <c r="D126" t="s">
        <v>0</v>
      </c>
      <c r="E126">
        <v>3</v>
      </c>
      <c r="F126" s="2">
        <v>699.86187341772143</v>
      </c>
      <c r="G126" s="2">
        <v>662.84226044226034</v>
      </c>
      <c r="H126" s="2">
        <v>922.40567088607588</v>
      </c>
      <c r="I126" s="2">
        <v>899.3056511056509</v>
      </c>
      <c r="J126" s="2">
        <v>1622.2675443037974</v>
      </c>
      <c r="K126" s="2">
        <v>1562.1479115479112</v>
      </c>
      <c r="L126" s="2">
        <v>-37.019612975461087</v>
      </c>
      <c r="M126" s="2">
        <v>-60.119632755886187</v>
      </c>
      <c r="N126" s="2">
        <v>3.6109</v>
      </c>
      <c r="O126" s="2">
        <v>36.189</v>
      </c>
      <c r="P126" s="2">
        <v>1.1682000000000001</v>
      </c>
      <c r="Q126" s="2">
        <v>23.674199999999999</v>
      </c>
      <c r="R126" s="2">
        <v>15.865399999999999</v>
      </c>
      <c r="S126" s="2">
        <v>30.2104</v>
      </c>
      <c r="T126" s="2">
        <v>154.93520000000001</v>
      </c>
      <c r="U126" s="2">
        <v>95.224599999999995</v>
      </c>
      <c r="V126" s="2">
        <v>79.711399999999998</v>
      </c>
      <c r="W126" s="2">
        <v>147.23079999999999</v>
      </c>
      <c r="X126" s="2">
        <v>31.378599999999999</v>
      </c>
      <c r="Y126" s="2">
        <v>74.709999999999994</v>
      </c>
      <c r="Z126" s="2">
        <v>53.68</v>
      </c>
      <c r="AA126" s="2">
        <v>13.13</v>
      </c>
      <c r="AB126" s="2">
        <v>6.09</v>
      </c>
      <c r="AC126" s="2">
        <v>1.66</v>
      </c>
      <c r="AD126" s="2">
        <v>46.12</v>
      </c>
      <c r="AE126" s="2">
        <v>15.44</v>
      </c>
      <c r="AF126" s="2">
        <v>61.6</v>
      </c>
      <c r="AG126" s="2">
        <v>37.799999999999997</v>
      </c>
      <c r="AH126" s="2">
        <v>23.7</v>
      </c>
      <c r="AI126" s="2">
        <v>9.93</v>
      </c>
      <c r="AJ126" s="2">
        <v>3.22</v>
      </c>
      <c r="AK126" s="2">
        <v>2.1890000000000001</v>
      </c>
      <c r="AL126" s="2">
        <v>1.925</v>
      </c>
      <c r="AM126" s="2">
        <v>0.92100000000000004</v>
      </c>
      <c r="AN126" s="2">
        <v>0.88</v>
      </c>
      <c r="AO126" s="2">
        <v>4.2140000000000004</v>
      </c>
      <c r="AP126" s="2">
        <v>0.85899999999999999</v>
      </c>
      <c r="AQ126" s="2">
        <v>0.94599999999999995</v>
      </c>
      <c r="AR126" s="2">
        <v>3.0819999999999999</v>
      </c>
      <c r="AS126" s="2">
        <v>33.81</v>
      </c>
      <c r="AT126" s="2">
        <v>708</v>
      </c>
      <c r="AU126" s="2">
        <v>1.1379999999999999</v>
      </c>
      <c r="AV126" s="2">
        <v>0.22</v>
      </c>
      <c r="AW126" s="2">
        <v>0.25</v>
      </c>
      <c r="AX126" s="2">
        <v>0.27200000000000002</v>
      </c>
      <c r="AY126" s="2">
        <v>0.47799999999999998</v>
      </c>
      <c r="AZ126" s="2">
        <v>0.22</v>
      </c>
      <c r="BA126" s="2">
        <v>0.85</v>
      </c>
      <c r="BB126" s="2">
        <v>13.1</v>
      </c>
      <c r="BC126" s="2">
        <v>94</v>
      </c>
      <c r="BD126" s="2">
        <v>0.8</v>
      </c>
      <c r="BE126" s="2">
        <v>6.6</v>
      </c>
      <c r="BF126" s="2">
        <v>100</v>
      </c>
      <c r="BG126" s="2">
        <v>168</v>
      </c>
      <c r="BH126" s="2">
        <v>1598</v>
      </c>
      <c r="BI126" s="2">
        <v>474</v>
      </c>
      <c r="BJ126" s="2">
        <v>16</v>
      </c>
      <c r="BK126" s="2">
        <v>135.19999999999999</v>
      </c>
      <c r="BL126" s="2">
        <v>5.7</v>
      </c>
      <c r="BM126" s="2">
        <v>3.7</v>
      </c>
      <c r="BN126" s="2">
        <v>0</v>
      </c>
      <c r="BO126" s="2">
        <v>0.43</v>
      </c>
      <c r="BP126" s="2">
        <v>7.99</v>
      </c>
      <c r="BQ126" s="2">
        <v>3.9</v>
      </c>
    </row>
    <row r="127" spans="1:69" x14ac:dyDescent="0.2">
      <c r="A127">
        <v>20</v>
      </c>
      <c r="B127">
        <v>260</v>
      </c>
      <c r="C127" t="s">
        <v>17</v>
      </c>
      <c r="D127" t="s">
        <v>0</v>
      </c>
      <c r="E127">
        <v>2</v>
      </c>
      <c r="F127" s="2">
        <v>644.4019878520154</v>
      </c>
      <c r="G127" s="2">
        <v>660.2430750457595</v>
      </c>
      <c r="H127" s="2">
        <v>913.87918277194933</v>
      </c>
      <c r="I127" s="2">
        <v>980.19280048810253</v>
      </c>
      <c r="J127" s="2">
        <v>1558.2811706239647</v>
      </c>
      <c r="K127" s="2">
        <v>1640.4358755338621</v>
      </c>
      <c r="L127" s="2">
        <v>15.841087193744102</v>
      </c>
      <c r="M127" s="2">
        <v>82.154704909897418</v>
      </c>
      <c r="N127" s="2">
        <v>3.7524999999999995</v>
      </c>
      <c r="O127" s="2">
        <v>35.388999999999996</v>
      </c>
      <c r="P127" s="2">
        <v>0.80179999999999996</v>
      </c>
      <c r="Q127" s="2">
        <v>16.506600000000002</v>
      </c>
      <c r="R127" s="2">
        <v>20.722200000000001</v>
      </c>
      <c r="S127" s="2">
        <v>16.627399999999998</v>
      </c>
      <c r="T127" s="2">
        <v>112.65560000000001</v>
      </c>
      <c r="U127" s="2">
        <v>100.6844</v>
      </c>
      <c r="V127" s="2">
        <v>103.9774</v>
      </c>
      <c r="W127" s="2">
        <v>111.73300000000002</v>
      </c>
      <c r="X127" s="2">
        <v>17.429199999999998</v>
      </c>
      <c r="Y127" s="2">
        <v>68.61</v>
      </c>
      <c r="Z127" s="2">
        <v>50.98</v>
      </c>
      <c r="AA127" s="2">
        <v>12.94</v>
      </c>
      <c r="AB127" s="2">
        <v>3.98</v>
      </c>
      <c r="AC127" s="2">
        <v>0.63</v>
      </c>
      <c r="AD127" s="2">
        <v>46.17</v>
      </c>
      <c r="AE127" s="2">
        <v>14.71</v>
      </c>
      <c r="AF127" s="2">
        <v>60.9</v>
      </c>
      <c r="AG127" s="2">
        <v>34.700000000000003</v>
      </c>
      <c r="AH127" s="2">
        <v>26.1</v>
      </c>
      <c r="AI127" s="2">
        <v>6.2</v>
      </c>
      <c r="AJ127" s="2">
        <v>1.53</v>
      </c>
      <c r="AK127" s="2">
        <v>2.2629999999999999</v>
      </c>
      <c r="AL127" s="2">
        <v>2.0830000000000002</v>
      </c>
      <c r="AM127" s="2">
        <v>0.95199999999999996</v>
      </c>
      <c r="AN127" s="2">
        <v>0.92</v>
      </c>
      <c r="AO127" s="2">
        <v>4.7140000000000004</v>
      </c>
      <c r="AP127" s="2">
        <v>0.90600000000000003</v>
      </c>
      <c r="AQ127" s="2">
        <v>0.86799999999999999</v>
      </c>
      <c r="AR127" s="2">
        <v>3.3149999999999999</v>
      </c>
      <c r="AS127" s="2">
        <v>34.61</v>
      </c>
      <c r="AT127" s="2">
        <v>746.5</v>
      </c>
      <c r="AU127" s="2">
        <v>0.98299999999999998</v>
      </c>
      <c r="AV127" s="2">
        <v>3.47</v>
      </c>
      <c r="AW127" s="2">
        <v>0.34100000000000003</v>
      </c>
      <c r="AX127" s="2">
        <v>0.23300000000000001</v>
      </c>
      <c r="AY127" s="2">
        <v>0.42599999999999999</v>
      </c>
      <c r="AZ127" s="2">
        <v>0.27</v>
      </c>
      <c r="BA127" s="2">
        <v>0.72</v>
      </c>
      <c r="BB127" s="2">
        <v>9.1999999999999993</v>
      </c>
      <c r="BC127" s="2">
        <v>86</v>
      </c>
      <c r="BD127" s="2">
        <v>1.3</v>
      </c>
      <c r="BE127" s="2">
        <v>5.8</v>
      </c>
      <c r="BF127" s="2">
        <v>40</v>
      </c>
      <c r="BG127" s="2">
        <v>75</v>
      </c>
      <c r="BH127" s="2">
        <v>1042</v>
      </c>
      <c r="BI127" s="2">
        <v>301</v>
      </c>
      <c r="BJ127" s="2">
        <v>15</v>
      </c>
      <c r="BK127" s="2">
        <v>41</v>
      </c>
      <c r="BL127" s="2">
        <v>2.4</v>
      </c>
      <c r="BM127" s="2">
        <v>1.2</v>
      </c>
      <c r="BN127" s="2">
        <v>0</v>
      </c>
      <c r="BO127" s="2">
        <v>0.19</v>
      </c>
      <c r="BP127" s="2">
        <v>5.21</v>
      </c>
      <c r="BQ127" s="2">
        <v>2.48</v>
      </c>
    </row>
    <row r="128" spans="1:69" x14ac:dyDescent="0.2">
      <c r="A128">
        <v>10</v>
      </c>
      <c r="B128">
        <v>281</v>
      </c>
      <c r="C128" t="s">
        <v>17</v>
      </c>
      <c r="D128" t="s">
        <v>7</v>
      </c>
      <c r="E128">
        <v>4</v>
      </c>
      <c r="F128" s="2">
        <v>231.23987891019121</v>
      </c>
      <c r="G128" s="2">
        <v>183.51970009372045</v>
      </c>
      <c r="H128" s="2">
        <v>1000.2042381432896</v>
      </c>
      <c r="I128" s="2">
        <v>349.42605435801323</v>
      </c>
      <c r="J128" s="2">
        <v>1231.4441170534808</v>
      </c>
      <c r="K128" s="2">
        <v>532.94575445173371</v>
      </c>
      <c r="L128" s="2">
        <v>-47.720178816470764</v>
      </c>
      <c r="M128" s="2">
        <v>-698.49836260174709</v>
      </c>
      <c r="N128" s="2">
        <v>1.7727000000000002</v>
      </c>
      <c r="O128" s="2">
        <v>15.744</v>
      </c>
      <c r="P128" s="2">
        <v>0.69799999999999995</v>
      </c>
      <c r="Q128" s="2">
        <v>6.3972872996300865</v>
      </c>
      <c r="R128" s="2">
        <v>3.3818763326226016</v>
      </c>
      <c r="S128" s="2">
        <v>30.154199999999999</v>
      </c>
      <c r="T128" s="2">
        <v>61.465844636251546</v>
      </c>
      <c r="U128" s="2">
        <v>53.963752665245202</v>
      </c>
      <c r="V128" s="2">
        <v>26.493428997867806</v>
      </c>
      <c r="W128" s="2">
        <v>37.010931935881629</v>
      </c>
      <c r="X128" s="2">
        <v>30.8522</v>
      </c>
      <c r="Y128" s="2">
        <v>83.18</v>
      </c>
      <c r="Z128" s="2">
        <v>51.01</v>
      </c>
      <c r="AA128" s="2">
        <v>23.16</v>
      </c>
      <c r="AB128" s="2">
        <v>7.58</v>
      </c>
      <c r="AC128" s="2">
        <v>1.38</v>
      </c>
      <c r="AD128" s="2">
        <v>13.84</v>
      </c>
      <c r="AE128" s="2">
        <v>28.18</v>
      </c>
      <c r="AF128" s="2">
        <v>42</v>
      </c>
      <c r="AG128" s="2">
        <v>42.1</v>
      </c>
      <c r="AH128" s="2">
        <v>-0.1</v>
      </c>
      <c r="AI128" s="2">
        <v>35.54</v>
      </c>
      <c r="AJ128" s="2">
        <v>5.62</v>
      </c>
      <c r="AK128" s="2">
        <v>1.9510000000000001</v>
      </c>
      <c r="AL128" s="2">
        <v>0.75700000000000001</v>
      </c>
      <c r="AM128" s="2">
        <v>0.56699999999999995</v>
      </c>
      <c r="AN128" s="2">
        <v>0.38800000000000001</v>
      </c>
      <c r="AO128" s="2">
        <v>1.4770000000000001</v>
      </c>
      <c r="AP128" s="2">
        <v>0.27100000000000002</v>
      </c>
      <c r="AQ128" s="2">
        <v>1.0529999999999999</v>
      </c>
      <c r="AR128" s="2">
        <v>1.5489999999999999</v>
      </c>
      <c r="AS128" s="2">
        <v>14.84</v>
      </c>
      <c r="AT128" s="2">
        <v>110.2</v>
      </c>
      <c r="AU128" s="2">
        <v>1.242</v>
      </c>
      <c r="AV128" s="2">
        <v>0.13</v>
      </c>
      <c r="AW128" s="2">
        <v>0.47099999999999997</v>
      </c>
      <c r="AX128" s="2">
        <v>0.26600000000000001</v>
      </c>
      <c r="AY128" s="2">
        <v>0.26200000000000001</v>
      </c>
      <c r="AZ128" s="2">
        <v>0.13</v>
      </c>
      <c r="BA128" s="2">
        <v>0.9</v>
      </c>
      <c r="BB128" s="2">
        <v>8.1</v>
      </c>
      <c r="BC128" s="2">
        <v>82</v>
      </c>
      <c r="BD128" s="2">
        <v>1.5</v>
      </c>
      <c r="BE128" s="2">
        <v>5.9</v>
      </c>
      <c r="BF128" s="2">
        <v>70</v>
      </c>
      <c r="BG128" s="2">
        <v>235</v>
      </c>
      <c r="BH128" s="2">
        <v>822</v>
      </c>
      <c r="BI128" s="2">
        <v>228</v>
      </c>
      <c r="BJ128" s="2">
        <v>15</v>
      </c>
      <c r="BK128" s="2">
        <v>279.5</v>
      </c>
      <c r="BL128" s="2">
        <v>2.7</v>
      </c>
      <c r="BM128" s="2">
        <v>1.6</v>
      </c>
      <c r="BN128" s="2">
        <v>0</v>
      </c>
      <c r="BO128" s="2">
        <v>0.6</v>
      </c>
      <c r="BP128" s="2">
        <v>4.1100000000000003</v>
      </c>
      <c r="BQ128" s="2">
        <v>1.88</v>
      </c>
    </row>
    <row r="129" spans="1:69" x14ac:dyDescent="0.2">
      <c r="A129">
        <v>20</v>
      </c>
      <c r="B129">
        <v>285</v>
      </c>
      <c r="C129" t="s">
        <v>17</v>
      </c>
      <c r="D129" t="s">
        <v>5</v>
      </c>
      <c r="E129">
        <v>3</v>
      </c>
      <c r="F129" s="2">
        <v>646.58059701492539</v>
      </c>
      <c r="G129" s="2">
        <v>622.44328552803108</v>
      </c>
      <c r="H129" s="2">
        <v>846.39850746268667</v>
      </c>
      <c r="I129" s="2">
        <v>1051.237548891786</v>
      </c>
      <c r="J129" s="2">
        <v>1492.9791044776121</v>
      </c>
      <c r="K129" s="2">
        <v>1673.6808344198171</v>
      </c>
      <c r="L129" s="2">
        <v>-24.137311486894305</v>
      </c>
      <c r="M129" s="2">
        <v>180.70172994220502</v>
      </c>
      <c r="N129" s="2">
        <v>3.6919000000000004</v>
      </c>
      <c r="O129" s="2">
        <v>52.361000000000004</v>
      </c>
      <c r="P129" s="2">
        <v>0.88</v>
      </c>
      <c r="Q129" s="2">
        <v>3.5070000000000001</v>
      </c>
      <c r="R129" s="2">
        <v>1.2965999999999998</v>
      </c>
      <c r="S129" s="2">
        <v>45.999600000000001</v>
      </c>
      <c r="T129" s="2">
        <v>223.39879999999999</v>
      </c>
      <c r="U129" s="2">
        <v>220.10480000000001</v>
      </c>
      <c r="V129" s="2">
        <v>174.52180000000001</v>
      </c>
      <c r="W129" s="2">
        <v>180.02619999999999</v>
      </c>
      <c r="X129" s="2">
        <v>46.879600000000003</v>
      </c>
      <c r="Y129" s="2">
        <v>67.540000000000006</v>
      </c>
      <c r="Z129" s="2">
        <v>41.67</v>
      </c>
      <c r="AA129" s="2">
        <v>16.59</v>
      </c>
      <c r="AB129" s="2">
        <v>7.7</v>
      </c>
      <c r="AC129" s="2">
        <v>1.42</v>
      </c>
      <c r="AD129" s="2">
        <v>29.86</v>
      </c>
      <c r="AE129" s="2">
        <v>21.78</v>
      </c>
      <c r="AF129" s="2">
        <v>51.6</v>
      </c>
      <c r="AG129" s="2">
        <v>34.200000000000003</v>
      </c>
      <c r="AH129" s="2">
        <v>17.399999999999999</v>
      </c>
      <c r="AI129" s="2">
        <v>13.06</v>
      </c>
      <c r="AJ129" s="2">
        <v>2.84</v>
      </c>
      <c r="AK129" s="2">
        <v>1.9450000000000001</v>
      </c>
      <c r="AL129" s="2">
        <v>1.5029999999999999</v>
      </c>
      <c r="AM129" s="2">
        <v>0.88600000000000001</v>
      </c>
      <c r="AN129" s="2">
        <v>0.77300000000000002</v>
      </c>
      <c r="AO129" s="2">
        <v>2.9239999999999999</v>
      </c>
      <c r="AP129" s="2">
        <v>0.71699999999999997</v>
      </c>
      <c r="AQ129" s="2">
        <v>0.85499999999999998</v>
      </c>
      <c r="AR129" s="2">
        <v>2.85</v>
      </c>
      <c r="AS129" s="2">
        <v>43.88</v>
      </c>
      <c r="AT129" s="2">
        <v>648.4</v>
      </c>
      <c r="AU129" s="2">
        <v>0.92</v>
      </c>
      <c r="AV129" s="2">
        <v>1.25</v>
      </c>
      <c r="AW129" s="2">
        <v>0.26800000000000002</v>
      </c>
      <c r="AX129" s="2">
        <v>0.26600000000000001</v>
      </c>
      <c r="AY129" s="2">
        <v>0.46600000000000003</v>
      </c>
      <c r="AZ129" s="2">
        <v>0.46</v>
      </c>
      <c r="BA129" s="2" t="s">
        <v>14</v>
      </c>
      <c r="BB129" s="2" t="s">
        <v>14</v>
      </c>
      <c r="BC129" s="2" t="s">
        <v>14</v>
      </c>
      <c r="BD129" s="2" t="s">
        <v>14</v>
      </c>
      <c r="BE129" s="2" t="s">
        <v>14</v>
      </c>
      <c r="BF129" s="2">
        <v>10</v>
      </c>
      <c r="BG129" s="2">
        <v>181</v>
      </c>
      <c r="BH129" s="2">
        <v>604</v>
      </c>
      <c r="BI129" s="2">
        <v>190</v>
      </c>
      <c r="BJ129" s="2">
        <v>23</v>
      </c>
      <c r="BK129" s="2">
        <v>166.6</v>
      </c>
      <c r="BL129" s="2">
        <v>2</v>
      </c>
      <c r="BM129" s="2">
        <v>2</v>
      </c>
      <c r="BN129" s="2">
        <v>0</v>
      </c>
      <c r="BO129" s="2">
        <v>0.46</v>
      </c>
      <c r="BP129" s="2">
        <v>3.02</v>
      </c>
      <c r="BQ129" s="2">
        <v>1.56</v>
      </c>
    </row>
    <row r="130" spans="1:69" x14ac:dyDescent="0.2">
      <c r="A130">
        <v>20</v>
      </c>
      <c r="B130">
        <v>33</v>
      </c>
      <c r="C130" t="s">
        <v>10</v>
      </c>
      <c r="D130" t="s">
        <v>5</v>
      </c>
      <c r="E130">
        <v>3</v>
      </c>
      <c r="F130" s="2">
        <v>255.4134624697337</v>
      </c>
      <c r="G130" s="2">
        <v>284.21689517912415</v>
      </c>
      <c r="H130" s="2">
        <v>546.05636803874108</v>
      </c>
      <c r="I130" s="2">
        <v>580.49960194604159</v>
      </c>
      <c r="J130" s="2">
        <v>801.46983050847484</v>
      </c>
      <c r="K130" s="2">
        <v>864.71649712516569</v>
      </c>
      <c r="L130" s="2">
        <v>28.803432709390449</v>
      </c>
      <c r="M130" s="2">
        <v>63.246666616690845</v>
      </c>
      <c r="N130" s="2">
        <v>1.2931000000000001</v>
      </c>
      <c r="O130" s="2">
        <v>22.576000000000001</v>
      </c>
      <c r="P130" s="2">
        <v>0.53439999999999999</v>
      </c>
      <c r="Q130" s="2">
        <v>0.91739999999999988</v>
      </c>
      <c r="R130" s="2">
        <v>0.55499999999999994</v>
      </c>
      <c r="S130" s="2">
        <v>15.5688</v>
      </c>
      <c r="T130" s="2">
        <v>55.911200000000001</v>
      </c>
      <c r="U130" s="2">
        <v>53.091200000000001</v>
      </c>
      <c r="V130" s="2">
        <v>37.542999999999999</v>
      </c>
      <c r="W130" s="2">
        <v>40.7254</v>
      </c>
      <c r="X130" s="2">
        <v>16.103200000000001</v>
      </c>
      <c r="Y130" s="2">
        <v>90.41</v>
      </c>
      <c r="Z130" s="2">
        <v>39.92</v>
      </c>
      <c r="AA130" s="2">
        <v>23.71</v>
      </c>
      <c r="AB130" s="2">
        <v>17.97</v>
      </c>
      <c r="AC130" s="2">
        <v>8.42</v>
      </c>
      <c r="AD130" s="2">
        <v>38.07</v>
      </c>
      <c r="AE130" s="2">
        <v>25.9</v>
      </c>
      <c r="AF130" s="2">
        <v>64</v>
      </c>
      <c r="AG130" s="2">
        <v>45.8</v>
      </c>
      <c r="AH130" s="2">
        <v>18.2</v>
      </c>
      <c r="AI130" s="2">
        <v>18.71</v>
      </c>
      <c r="AJ130" s="2">
        <v>7.73</v>
      </c>
      <c r="AK130" s="2">
        <v>1.466</v>
      </c>
      <c r="AL130" s="2">
        <v>1.423</v>
      </c>
      <c r="AM130" s="2">
        <v>1.0049999999999999</v>
      </c>
      <c r="AN130" s="2">
        <v>0.97099999999999997</v>
      </c>
      <c r="AO130" s="2">
        <v>2.0870000000000002</v>
      </c>
      <c r="AP130" s="2">
        <v>0.95399999999999996</v>
      </c>
      <c r="AQ130" s="2">
        <v>1.1439999999999999</v>
      </c>
      <c r="AR130" s="2">
        <v>1.175</v>
      </c>
      <c r="AS130" s="2">
        <v>18.760000000000002</v>
      </c>
      <c r="AT130" s="2">
        <v>295.5</v>
      </c>
      <c r="AU130" s="2">
        <v>1.1279999999999999</v>
      </c>
      <c r="AV130" s="2">
        <v>6.17</v>
      </c>
      <c r="AW130" s="2">
        <v>6.7000000000000004E-2</v>
      </c>
      <c r="AX130" s="2">
        <v>0.252</v>
      </c>
      <c r="AY130" s="2">
        <v>0.68100000000000005</v>
      </c>
      <c r="AZ130" s="2">
        <v>0.41</v>
      </c>
      <c r="BA130" s="2">
        <v>1.05</v>
      </c>
      <c r="BB130" s="2">
        <v>5.5</v>
      </c>
      <c r="BC130" s="2">
        <v>71</v>
      </c>
      <c r="BD130" s="2">
        <v>1.6</v>
      </c>
      <c r="BE130" s="2">
        <v>5.4</v>
      </c>
      <c r="BF130" s="2">
        <v>96</v>
      </c>
      <c r="BG130" s="2">
        <v>84</v>
      </c>
      <c r="BH130" s="2">
        <v>560</v>
      </c>
      <c r="BI130" s="2">
        <v>107</v>
      </c>
      <c r="BJ130" s="2">
        <v>13</v>
      </c>
      <c r="BK130" s="2">
        <v>41</v>
      </c>
      <c r="BL130" s="2">
        <v>1.7</v>
      </c>
      <c r="BM130" s="2">
        <v>0.6</v>
      </c>
      <c r="BN130" s="2">
        <v>0</v>
      </c>
      <c r="BO130" s="2">
        <v>0.21</v>
      </c>
      <c r="BP130" s="2">
        <v>2.8</v>
      </c>
      <c r="BQ130" s="2">
        <v>0.88</v>
      </c>
    </row>
    <row r="131" spans="1:69" x14ac:dyDescent="0.2">
      <c r="A131">
        <v>20</v>
      </c>
      <c r="B131">
        <v>41</v>
      </c>
      <c r="C131" t="s">
        <v>10</v>
      </c>
      <c r="D131" t="s">
        <v>5</v>
      </c>
      <c r="E131">
        <v>1</v>
      </c>
      <c r="F131" s="2">
        <v>43.26851704996028</v>
      </c>
      <c r="G131" s="2">
        <v>137.99626459143968</v>
      </c>
      <c r="H131" s="2">
        <v>236.77494052339421</v>
      </c>
      <c r="I131" s="2">
        <v>393.93805447470828</v>
      </c>
      <c r="J131" s="2">
        <v>280.04345757335449</v>
      </c>
      <c r="K131" s="2">
        <v>531.93431906614796</v>
      </c>
      <c r="L131" s="2">
        <v>94.727747541479403</v>
      </c>
      <c r="M131" s="2">
        <v>251.89086149279348</v>
      </c>
      <c r="N131" s="2">
        <v>0.85129999999999995</v>
      </c>
      <c r="O131" s="2">
        <v>17.567</v>
      </c>
      <c r="P131" s="2">
        <v>0.309</v>
      </c>
      <c r="Q131" s="2">
        <v>0.72899999999999998</v>
      </c>
      <c r="R131" s="2">
        <v>3.2102000000000004</v>
      </c>
      <c r="S131" s="2">
        <v>15.8508</v>
      </c>
      <c r="T131" s="2">
        <v>22.494799999999998</v>
      </c>
      <c r="U131" s="2">
        <v>21.9298</v>
      </c>
      <c r="V131" s="2">
        <v>8.9802</v>
      </c>
      <c r="W131" s="2">
        <v>7.0639999999999965</v>
      </c>
      <c r="X131" s="2">
        <v>16.159800000000001</v>
      </c>
      <c r="Y131" s="2">
        <v>101.73</v>
      </c>
      <c r="Z131" s="2">
        <v>36.54</v>
      </c>
      <c r="AA131" s="2">
        <v>39.32</v>
      </c>
      <c r="AB131" s="2">
        <v>21.17</v>
      </c>
      <c r="AC131" s="2">
        <v>4.3499999999999996</v>
      </c>
      <c r="AD131" s="2">
        <v>30.13</v>
      </c>
      <c r="AE131" s="2">
        <v>45.35</v>
      </c>
      <c r="AF131" s="2">
        <v>75.5</v>
      </c>
      <c r="AG131" s="2">
        <v>51.5</v>
      </c>
      <c r="AH131" s="2">
        <v>24</v>
      </c>
      <c r="AI131" s="2">
        <v>19.3</v>
      </c>
      <c r="AJ131" s="2">
        <v>6.95</v>
      </c>
      <c r="AK131" s="2">
        <v>1.3069999999999999</v>
      </c>
      <c r="AL131" s="2">
        <v>1.161</v>
      </c>
      <c r="AM131" s="2">
        <v>0.995</v>
      </c>
      <c r="AN131" s="2">
        <v>0.88800000000000001</v>
      </c>
      <c r="AO131" s="2">
        <v>1.5169999999999999</v>
      </c>
      <c r="AP131" s="2">
        <v>0.82499999999999996</v>
      </c>
      <c r="AQ131" s="2">
        <v>1.288</v>
      </c>
      <c r="AR131" s="2">
        <v>0.90800000000000003</v>
      </c>
      <c r="AS131" s="2">
        <v>16.579999999999998</v>
      </c>
      <c r="AT131" s="2">
        <v>120</v>
      </c>
      <c r="AU131" s="2">
        <v>1.373</v>
      </c>
      <c r="AV131" s="2" t="s">
        <v>14</v>
      </c>
      <c r="AW131" s="2">
        <v>8.7999999999999995E-2</v>
      </c>
      <c r="AX131" s="2">
        <v>0.14399999999999999</v>
      </c>
      <c r="AY131" s="2">
        <v>0.76900000000000002</v>
      </c>
      <c r="AZ131" s="2">
        <v>0.41</v>
      </c>
      <c r="BA131" s="2">
        <v>1.21</v>
      </c>
      <c r="BB131" s="2">
        <v>4.0999999999999996</v>
      </c>
      <c r="BC131" s="2">
        <v>34</v>
      </c>
      <c r="BD131" s="2">
        <v>2.7</v>
      </c>
      <c r="BE131" s="2">
        <v>4.2</v>
      </c>
      <c r="BF131" s="2">
        <v>76</v>
      </c>
      <c r="BG131" s="2">
        <v>27</v>
      </c>
      <c r="BH131" s="2">
        <v>186</v>
      </c>
      <c r="BI131" s="2">
        <v>48</v>
      </c>
      <c r="BJ131" s="2">
        <v>13</v>
      </c>
      <c r="BK131" s="2">
        <v>7.8</v>
      </c>
      <c r="BL131" s="2">
        <v>2.6</v>
      </c>
      <c r="BM131" s="2">
        <v>0.5</v>
      </c>
      <c r="BN131" s="2">
        <v>0</v>
      </c>
      <c r="BO131" s="2">
        <v>7.0000000000000007E-2</v>
      </c>
      <c r="BP131" s="2">
        <v>0.93</v>
      </c>
      <c r="BQ131" s="2">
        <v>0.39</v>
      </c>
    </row>
    <row r="132" spans="1:69" x14ac:dyDescent="0.2">
      <c r="A132">
        <v>20</v>
      </c>
      <c r="B132">
        <v>58</v>
      </c>
      <c r="C132" t="s">
        <v>10</v>
      </c>
      <c r="D132" t="s">
        <v>7</v>
      </c>
      <c r="E132">
        <v>3</v>
      </c>
      <c r="F132" s="2">
        <v>47.782463054187232</v>
      </c>
      <c r="G132" s="2">
        <v>74.87163094805662</v>
      </c>
      <c r="H132" s="2">
        <v>160.27034482758634</v>
      </c>
      <c r="I132" s="2">
        <v>158.55168906647307</v>
      </c>
      <c r="J132" s="2">
        <v>208.05280788177356</v>
      </c>
      <c r="K132" s="2">
        <v>233.42332001452968</v>
      </c>
      <c r="L132" s="2">
        <v>27.089167893869387</v>
      </c>
      <c r="M132" s="2">
        <v>25.370512132756119</v>
      </c>
      <c r="N132" s="2">
        <v>0.1996</v>
      </c>
      <c r="O132" s="2">
        <v>2.952</v>
      </c>
      <c r="P132" s="2">
        <v>0.245</v>
      </c>
      <c r="Q132" s="2">
        <v>0.9546</v>
      </c>
      <c r="R132" s="2">
        <v>3.0481999999999996</v>
      </c>
      <c r="S132" s="2">
        <v>5.4182000000000006</v>
      </c>
      <c r="T132" s="2">
        <v>10.919599999999999</v>
      </c>
      <c r="U132" s="2">
        <v>11.6914</v>
      </c>
      <c r="V132" s="2">
        <v>9.0763999999999996</v>
      </c>
      <c r="W132" s="2">
        <v>6.2109999999999976</v>
      </c>
      <c r="X132" s="2">
        <v>5.6632000000000007</v>
      </c>
      <c r="Y132" s="2">
        <v>110.86</v>
      </c>
      <c r="Z132" s="2">
        <v>48.61</v>
      </c>
      <c r="AA132" s="2">
        <v>35.57</v>
      </c>
      <c r="AB132" s="2">
        <v>23.76</v>
      </c>
      <c r="AC132" s="2">
        <v>2.58</v>
      </c>
      <c r="AD132" s="2">
        <v>27.3</v>
      </c>
      <c r="AE132" s="2">
        <v>57</v>
      </c>
      <c r="AF132" s="2">
        <v>84.3</v>
      </c>
      <c r="AG132" s="2">
        <v>56.1</v>
      </c>
      <c r="AH132" s="2">
        <v>28.2</v>
      </c>
      <c r="AI132" s="2">
        <v>19.18</v>
      </c>
      <c r="AJ132" s="2">
        <v>7.38</v>
      </c>
      <c r="AK132" s="2">
        <v>1.494</v>
      </c>
      <c r="AL132" s="2">
        <v>1.0569999999999999</v>
      </c>
      <c r="AM132" s="2">
        <v>1.0009999999999999</v>
      </c>
      <c r="AN132" s="2">
        <v>0.70799999999999996</v>
      </c>
      <c r="AO132" s="2">
        <v>1.58</v>
      </c>
      <c r="AP132" s="2">
        <v>0.56200000000000006</v>
      </c>
      <c r="AQ132" s="2">
        <v>1.403</v>
      </c>
      <c r="AR132" s="2">
        <v>0.33700000000000002</v>
      </c>
      <c r="AS132" s="2">
        <v>4.18</v>
      </c>
      <c r="AT132" s="2">
        <v>78.2</v>
      </c>
      <c r="AU132" s="2">
        <v>1.4990000000000001</v>
      </c>
      <c r="AV132" s="2">
        <v>2.8</v>
      </c>
      <c r="AW132" s="2">
        <v>6.6000000000000003E-2</v>
      </c>
      <c r="AX132" s="2">
        <v>0.115</v>
      </c>
      <c r="AY132" s="2">
        <v>0.81899999999999995</v>
      </c>
      <c r="AZ132" s="2">
        <v>0.09</v>
      </c>
      <c r="BA132" s="2">
        <v>1.33</v>
      </c>
      <c r="BB132" s="2">
        <v>2.8</v>
      </c>
      <c r="BC132" s="2">
        <v>81</v>
      </c>
      <c r="BD132" s="2">
        <v>0.5</v>
      </c>
      <c r="BE132" s="2">
        <v>6</v>
      </c>
      <c r="BF132" s="2">
        <v>103</v>
      </c>
      <c r="BG132" s="2">
        <v>67</v>
      </c>
      <c r="BH132" s="2">
        <v>289</v>
      </c>
      <c r="BI132" s="2">
        <v>77</v>
      </c>
      <c r="BJ132" s="2">
        <v>6</v>
      </c>
      <c r="BK132" s="2">
        <v>18</v>
      </c>
      <c r="BL132" s="2">
        <v>1.5</v>
      </c>
      <c r="BM132" s="2">
        <v>0.7</v>
      </c>
      <c r="BN132" s="2">
        <v>0</v>
      </c>
      <c r="BO132" s="2">
        <v>0.17</v>
      </c>
      <c r="BP132" s="2">
        <v>1.45</v>
      </c>
      <c r="BQ132" s="2">
        <v>0.63</v>
      </c>
    </row>
    <row r="133" spans="1:69" x14ac:dyDescent="0.2">
      <c r="A133">
        <v>20</v>
      </c>
      <c r="B133">
        <v>95</v>
      </c>
      <c r="C133" t="s">
        <v>10</v>
      </c>
      <c r="D133" t="s">
        <v>7</v>
      </c>
      <c r="E133">
        <v>1</v>
      </c>
      <c r="F133" s="2">
        <v>76.844398766700934</v>
      </c>
      <c r="G133" s="2">
        <v>121.77940102264422</v>
      </c>
      <c r="H133" s="2">
        <v>234.68694758478935</v>
      </c>
      <c r="I133" s="2">
        <v>224.73834915997082</v>
      </c>
      <c r="J133" s="2">
        <v>311.5313463514903</v>
      </c>
      <c r="K133" s="2">
        <v>346.51775018261503</v>
      </c>
      <c r="L133" s="2">
        <v>44.935002255943289</v>
      </c>
      <c r="M133" s="2">
        <v>34.986403831124733</v>
      </c>
      <c r="N133" s="2">
        <v>0.34129999999999999</v>
      </c>
      <c r="O133" s="2">
        <v>4.4380999999999995</v>
      </c>
      <c r="P133" s="2">
        <v>0.2102</v>
      </c>
      <c r="Q133" s="2">
        <v>1.7225999999999999</v>
      </c>
      <c r="R133" s="2">
        <v>5.4878000000000009</v>
      </c>
      <c r="S133" s="2">
        <v>6.7683999999999997</v>
      </c>
      <c r="T133" s="2">
        <v>17.471599999999999</v>
      </c>
      <c r="U133" s="2">
        <v>12.989800000000001</v>
      </c>
      <c r="V133" s="2">
        <v>11.499000000000002</v>
      </c>
      <c r="W133" s="2">
        <v>12.215599999999998</v>
      </c>
      <c r="X133" s="2">
        <v>6.9786000000000001</v>
      </c>
      <c r="Y133" s="2">
        <v>114.15</v>
      </c>
      <c r="Z133" s="2">
        <v>45.17</v>
      </c>
      <c r="AA133" s="2">
        <v>38.65</v>
      </c>
      <c r="AB133" s="2">
        <v>25.93</v>
      </c>
      <c r="AC133" s="2">
        <v>4.0199999999999996</v>
      </c>
      <c r="AD133" s="2">
        <v>33.54</v>
      </c>
      <c r="AE133" s="2">
        <v>46.28</v>
      </c>
      <c r="AF133" s="2">
        <v>79.8</v>
      </c>
      <c r="AG133" s="2">
        <v>57.8</v>
      </c>
      <c r="AH133" s="2">
        <v>22</v>
      </c>
      <c r="AI133" s="2">
        <v>24.82</v>
      </c>
      <c r="AJ133" s="2">
        <v>9.51</v>
      </c>
      <c r="AK133" s="2">
        <v>1.385</v>
      </c>
      <c r="AL133" s="2">
        <v>1.133</v>
      </c>
      <c r="AM133" s="2">
        <v>0.95199999999999996</v>
      </c>
      <c r="AN133" s="2">
        <v>0.81799999999999995</v>
      </c>
      <c r="AO133" s="2">
        <v>1.57</v>
      </c>
      <c r="AP133" s="2">
        <v>0.74299999999999999</v>
      </c>
      <c r="AQ133" s="2">
        <v>1.4450000000000001</v>
      </c>
      <c r="AR133" s="2">
        <v>0.49099999999999999</v>
      </c>
      <c r="AS133" s="2">
        <v>6.24</v>
      </c>
      <c r="AT133" s="2">
        <v>91.8</v>
      </c>
      <c r="AU133" s="2">
        <v>1.625</v>
      </c>
      <c r="AV133" s="2">
        <v>2.06</v>
      </c>
      <c r="AW133" s="2">
        <v>7.1999999999999995E-2</v>
      </c>
      <c r="AX133" s="2">
        <v>0.156</v>
      </c>
      <c r="AY133" s="2">
        <v>0.77200000000000002</v>
      </c>
      <c r="AZ133" s="2">
        <v>0.27</v>
      </c>
      <c r="BA133" s="2">
        <v>1.31</v>
      </c>
      <c r="BB133" s="2">
        <v>2.9</v>
      </c>
      <c r="BC133" s="2">
        <v>77</v>
      </c>
      <c r="BD133" s="2">
        <v>0.7</v>
      </c>
      <c r="BE133" s="2">
        <v>5.7</v>
      </c>
      <c r="BF133" s="2">
        <v>113</v>
      </c>
      <c r="BG133" s="2">
        <v>65</v>
      </c>
      <c r="BH133" s="2">
        <v>298</v>
      </c>
      <c r="BI133" s="2">
        <v>72</v>
      </c>
      <c r="BJ133" s="2">
        <v>10</v>
      </c>
      <c r="BK133" s="2">
        <v>17</v>
      </c>
      <c r="BL133" s="2">
        <v>1.7</v>
      </c>
      <c r="BM133" s="2">
        <v>0.7</v>
      </c>
      <c r="BN133" s="2">
        <v>0</v>
      </c>
      <c r="BO133" s="2">
        <v>0.17</v>
      </c>
      <c r="BP133" s="2">
        <v>1.49</v>
      </c>
      <c r="BQ133" s="2">
        <v>0.59</v>
      </c>
    </row>
    <row r="134" spans="1:69" x14ac:dyDescent="0.2">
      <c r="A134">
        <v>20</v>
      </c>
      <c r="B134">
        <v>104</v>
      </c>
      <c r="C134" t="s">
        <v>10</v>
      </c>
      <c r="D134" t="s">
        <v>0</v>
      </c>
      <c r="E134">
        <v>1</v>
      </c>
      <c r="F134" s="2">
        <v>96.924552721735807</v>
      </c>
      <c r="G134" s="2">
        <v>101.21081994928137</v>
      </c>
      <c r="H134" s="2">
        <v>373.85184621240961</v>
      </c>
      <c r="I134" s="2">
        <v>254.94877430262048</v>
      </c>
      <c r="J134" s="2">
        <v>470.77639893414539</v>
      </c>
      <c r="K134" s="2">
        <v>356.15959425190186</v>
      </c>
      <c r="L134" s="2">
        <v>4.2862672275455651</v>
      </c>
      <c r="M134" s="2">
        <v>-114.61680468224353</v>
      </c>
      <c r="N134" s="2">
        <v>0.57410000000000005</v>
      </c>
      <c r="O134" s="2">
        <v>7.2780999999999993</v>
      </c>
      <c r="P134" s="2">
        <v>0.19240000000000002</v>
      </c>
      <c r="Q134" s="2">
        <v>1.5846</v>
      </c>
      <c r="R134" s="2">
        <v>6.1681999999999997</v>
      </c>
      <c r="S134" s="2">
        <v>12.143599999999999</v>
      </c>
      <c r="T134" s="2">
        <v>34.597999999999999</v>
      </c>
      <c r="U134" s="2">
        <v>35.194599999999994</v>
      </c>
      <c r="V134" s="2">
        <v>29.026799999999994</v>
      </c>
      <c r="W134" s="2">
        <v>23.846600000000002</v>
      </c>
      <c r="X134" s="2">
        <v>12.335999999999999</v>
      </c>
      <c r="Y134" s="2">
        <v>99.74</v>
      </c>
      <c r="Z134" s="2">
        <v>50.16</v>
      </c>
      <c r="AA134" s="2">
        <v>29.79</v>
      </c>
      <c r="AB134" s="2">
        <v>17.579999999999998</v>
      </c>
      <c r="AC134" s="2">
        <v>1.98</v>
      </c>
      <c r="AD134" s="2">
        <v>36.340000000000003</v>
      </c>
      <c r="AE134" s="2">
        <v>38.700000000000003</v>
      </c>
      <c r="AF134" s="2">
        <v>75</v>
      </c>
      <c r="AG134" s="2">
        <v>50.5</v>
      </c>
      <c r="AH134" s="2">
        <v>24.5</v>
      </c>
      <c r="AI134" s="2">
        <v>19.579999999999998</v>
      </c>
      <c r="AJ134" s="2">
        <v>5.12</v>
      </c>
      <c r="AK134" s="2">
        <v>1.66</v>
      </c>
      <c r="AL134" s="2">
        <v>1.321</v>
      </c>
      <c r="AM134" s="2">
        <v>0.93899999999999995</v>
      </c>
      <c r="AN134" s="2">
        <v>0.79600000000000004</v>
      </c>
      <c r="AO134" s="2">
        <v>2.1930000000000001</v>
      </c>
      <c r="AP134" s="2">
        <v>0.72399999999999998</v>
      </c>
      <c r="AQ134" s="2">
        <v>1.2629999999999999</v>
      </c>
      <c r="AR134" s="2">
        <v>0.61599999999999999</v>
      </c>
      <c r="AS134" s="2">
        <v>7.93</v>
      </c>
      <c r="AT134" s="2">
        <v>114.2</v>
      </c>
      <c r="AU134" s="2">
        <v>1.544</v>
      </c>
      <c r="AV134" s="2">
        <v>0.56000000000000005</v>
      </c>
      <c r="AW134" s="2">
        <v>9.0999999999999998E-2</v>
      </c>
      <c r="AX134" s="2">
        <v>4.4999999999999998E-2</v>
      </c>
      <c r="AY134" s="2">
        <v>0.86399999999999999</v>
      </c>
      <c r="AZ134" s="2">
        <v>0.22</v>
      </c>
      <c r="BA134" s="2">
        <v>1.2</v>
      </c>
      <c r="BB134" s="2">
        <v>3.4</v>
      </c>
      <c r="BC134" s="2">
        <v>69</v>
      </c>
      <c r="BD134" s="2">
        <v>1</v>
      </c>
      <c r="BE134" s="2">
        <v>5.3</v>
      </c>
      <c r="BF134" s="2">
        <v>66</v>
      </c>
      <c r="BG134" s="2">
        <v>69</v>
      </c>
      <c r="BH134" s="2">
        <v>308</v>
      </c>
      <c r="BI134" s="2">
        <v>80</v>
      </c>
      <c r="BJ134" s="2">
        <v>9</v>
      </c>
      <c r="BK134" s="2">
        <v>8.4</v>
      </c>
      <c r="BL134" s="2">
        <v>3.2</v>
      </c>
      <c r="BM134" s="2">
        <v>1.7</v>
      </c>
      <c r="BN134" s="2">
        <v>0</v>
      </c>
      <c r="BO134" s="2">
        <v>0.18</v>
      </c>
      <c r="BP134" s="2">
        <v>1.54</v>
      </c>
      <c r="BQ134" s="2">
        <v>0.66</v>
      </c>
    </row>
    <row r="135" spans="1:69" x14ac:dyDescent="0.2">
      <c r="A135">
        <v>20</v>
      </c>
      <c r="B135">
        <v>110</v>
      </c>
      <c r="C135" t="s">
        <v>10</v>
      </c>
      <c r="D135" t="s">
        <v>5</v>
      </c>
      <c r="E135">
        <v>2</v>
      </c>
      <c r="F135" s="2">
        <v>131.45835789473676</v>
      </c>
      <c r="G135" s="2">
        <v>121.6535117056856</v>
      </c>
      <c r="H135" s="2">
        <v>422.45355789473689</v>
      </c>
      <c r="I135" s="2">
        <v>540.19952221691358</v>
      </c>
      <c r="J135" s="2">
        <v>553.9119157894736</v>
      </c>
      <c r="K135" s="2">
        <v>661.85303392259914</v>
      </c>
      <c r="L135" s="2">
        <v>-9.8048461890511618</v>
      </c>
      <c r="M135" s="2">
        <v>107.94111813312554</v>
      </c>
      <c r="N135" s="2">
        <v>0.95779999999999998</v>
      </c>
      <c r="O135" s="2">
        <v>22.853999999999999</v>
      </c>
      <c r="P135" s="2">
        <v>0.64159999999999995</v>
      </c>
      <c r="Q135" s="2">
        <v>1.2210000000000001</v>
      </c>
      <c r="R135" s="2">
        <v>2.8033999999999999</v>
      </c>
      <c r="S135" s="2">
        <v>15.315</v>
      </c>
      <c r="T135" s="2">
        <v>49.197199999999995</v>
      </c>
      <c r="U135" s="2">
        <v>31.947399999999995</v>
      </c>
      <c r="V135" s="2">
        <v>18.794199999999996</v>
      </c>
      <c r="W135" s="2">
        <v>34.461599999999997</v>
      </c>
      <c r="X135" s="2">
        <v>15.9566</v>
      </c>
      <c r="Y135" s="2">
        <v>89.6</v>
      </c>
      <c r="Z135" s="2">
        <v>47.66</v>
      </c>
      <c r="AA135" s="2">
        <v>24.91</v>
      </c>
      <c r="AB135" s="2">
        <v>14.33</v>
      </c>
      <c r="AC135" s="2">
        <v>2.4300000000000002</v>
      </c>
      <c r="AD135" s="2">
        <v>37.11</v>
      </c>
      <c r="AE135" s="2">
        <v>29</v>
      </c>
      <c r="AF135" s="2">
        <v>66.099999999999994</v>
      </c>
      <c r="AG135" s="2">
        <v>45.4</v>
      </c>
      <c r="AH135" s="2">
        <v>20.7</v>
      </c>
      <c r="AI135" s="2">
        <v>15.55</v>
      </c>
      <c r="AJ135" s="2">
        <v>7.94</v>
      </c>
      <c r="AK135" s="2">
        <v>1.728</v>
      </c>
      <c r="AL135" s="2">
        <v>1.4219999999999999</v>
      </c>
      <c r="AM135" s="2">
        <v>0.91100000000000003</v>
      </c>
      <c r="AN135" s="2">
        <v>0.82299999999999995</v>
      </c>
      <c r="AO135" s="2">
        <v>2.4569999999999999</v>
      </c>
      <c r="AP135" s="2">
        <v>0.77900000000000003</v>
      </c>
      <c r="AQ135" s="2">
        <v>1.1339999999999999</v>
      </c>
      <c r="AR135" s="2">
        <v>0.89900000000000002</v>
      </c>
      <c r="AS135" s="2">
        <v>22.08</v>
      </c>
      <c r="AT135" s="2">
        <v>189.8</v>
      </c>
      <c r="AU135" s="2">
        <v>1.2</v>
      </c>
      <c r="AV135" s="2">
        <v>1.92</v>
      </c>
      <c r="AW135" s="2">
        <v>0.123</v>
      </c>
      <c r="AX135" s="2">
        <v>0.19</v>
      </c>
      <c r="AY135" s="2">
        <v>0.68700000000000006</v>
      </c>
      <c r="AZ135" s="2">
        <v>0.56000000000000005</v>
      </c>
      <c r="BA135" s="2">
        <v>1.02</v>
      </c>
      <c r="BB135" s="2">
        <v>4.7</v>
      </c>
      <c r="BC135" s="2">
        <v>39</v>
      </c>
      <c r="BD135" s="2">
        <v>2.8</v>
      </c>
      <c r="BE135" s="2">
        <v>4.4000000000000004</v>
      </c>
      <c r="BF135" s="2">
        <v>88</v>
      </c>
      <c r="BG135" s="2">
        <v>85</v>
      </c>
      <c r="BH135" s="2">
        <v>203</v>
      </c>
      <c r="BI135" s="2">
        <v>74</v>
      </c>
      <c r="BJ135" s="2">
        <v>13</v>
      </c>
      <c r="BK135" s="2">
        <v>3.7</v>
      </c>
      <c r="BL135" s="2">
        <v>1.2</v>
      </c>
      <c r="BM135" s="2">
        <v>0.6</v>
      </c>
      <c r="BN135" s="2">
        <v>0.1</v>
      </c>
      <c r="BO135" s="2">
        <v>0.22</v>
      </c>
      <c r="BP135" s="2">
        <v>1.02</v>
      </c>
      <c r="BQ135" s="2">
        <v>0.61</v>
      </c>
    </row>
    <row r="136" spans="1:69" x14ac:dyDescent="0.2">
      <c r="A136">
        <v>20</v>
      </c>
      <c r="B136">
        <v>133</v>
      </c>
      <c r="C136" t="s">
        <v>10</v>
      </c>
      <c r="D136" t="s">
        <v>7</v>
      </c>
      <c r="E136">
        <v>4</v>
      </c>
      <c r="F136" s="2">
        <v>57.052910421749637</v>
      </c>
      <c r="G136" s="2">
        <v>108.05614556256951</v>
      </c>
      <c r="H136" s="2">
        <v>228.21164168699895</v>
      </c>
      <c r="I136" s="2">
        <v>166.58655774229484</v>
      </c>
      <c r="J136" s="2">
        <v>285.2645521087486</v>
      </c>
      <c r="K136" s="2">
        <v>274.64270330486437</v>
      </c>
      <c r="L136" s="2">
        <v>51.003235140819875</v>
      </c>
      <c r="M136" s="2">
        <v>-10.621848803884234</v>
      </c>
      <c r="N136" s="2">
        <v>0.24529999999999999</v>
      </c>
      <c r="O136" s="2">
        <v>3.4849000000000001</v>
      </c>
      <c r="P136" s="2">
        <v>0.18540000000000001</v>
      </c>
      <c r="Q136" s="2">
        <v>1.1454</v>
      </c>
      <c r="R136" s="2">
        <v>3.9770000000000003</v>
      </c>
      <c r="S136" s="2">
        <v>5.4603999999999999</v>
      </c>
      <c r="T136" s="2">
        <v>23.805199999999999</v>
      </c>
      <c r="U136" s="2">
        <v>10.375</v>
      </c>
      <c r="V136" s="2">
        <v>8.7062000000000008</v>
      </c>
      <c r="W136" s="2">
        <v>19.3048</v>
      </c>
      <c r="X136" s="2">
        <v>5.6457999999999995</v>
      </c>
      <c r="Y136" s="2">
        <v>112.37</v>
      </c>
      <c r="Z136" s="2">
        <v>37.42</v>
      </c>
      <c r="AA136" s="2">
        <v>45.97</v>
      </c>
      <c r="AB136" s="2">
        <v>24.31</v>
      </c>
      <c r="AC136" s="2">
        <v>4.25</v>
      </c>
      <c r="AD136" s="2">
        <v>11.61</v>
      </c>
      <c r="AE136" s="2">
        <v>62.9</v>
      </c>
      <c r="AF136" s="2">
        <v>74.5</v>
      </c>
      <c r="AG136" s="2">
        <v>56.9</v>
      </c>
      <c r="AH136" s="2">
        <v>17.600000000000001</v>
      </c>
      <c r="AI136" s="2">
        <v>28.4</v>
      </c>
      <c r="AJ136" s="2">
        <v>9.4600000000000009</v>
      </c>
      <c r="AK136" s="2">
        <v>1.2470000000000001</v>
      </c>
      <c r="AL136" s="2">
        <v>0.68799999999999994</v>
      </c>
      <c r="AM136" s="2">
        <v>0.89400000000000002</v>
      </c>
      <c r="AN136" s="2">
        <v>0.55100000000000005</v>
      </c>
      <c r="AO136" s="2">
        <v>0.85699999999999998</v>
      </c>
      <c r="AP136" s="2">
        <v>0.31</v>
      </c>
      <c r="AQ136" s="2">
        <v>1.4219999999999999</v>
      </c>
      <c r="AR136" s="2">
        <v>0.44900000000000001</v>
      </c>
      <c r="AS136" s="2">
        <v>5.21</v>
      </c>
      <c r="AT136" s="2">
        <v>95.4</v>
      </c>
      <c r="AU136" s="2">
        <v>1.6359999999999999</v>
      </c>
      <c r="AV136" s="2">
        <v>1.98</v>
      </c>
      <c r="AW136" s="2">
        <v>0.09</v>
      </c>
      <c r="AX136" s="2">
        <v>0.17100000000000001</v>
      </c>
      <c r="AY136" s="2">
        <v>0.73899999999999999</v>
      </c>
      <c r="AZ136" s="2">
        <v>0.13</v>
      </c>
      <c r="BA136" s="2">
        <v>1.19</v>
      </c>
      <c r="BB136" s="2">
        <v>3.4</v>
      </c>
      <c r="BC136" s="2">
        <v>82</v>
      </c>
      <c r="BD136" s="2">
        <v>0.6</v>
      </c>
      <c r="BE136" s="2">
        <v>5.8</v>
      </c>
      <c r="BF136" s="2">
        <v>120</v>
      </c>
      <c r="BG136" s="2">
        <v>126</v>
      </c>
      <c r="BH136" s="2">
        <v>323</v>
      </c>
      <c r="BI136" s="2">
        <v>102</v>
      </c>
      <c r="BJ136" s="2">
        <v>11</v>
      </c>
      <c r="BK136" s="2">
        <v>16.7</v>
      </c>
      <c r="BL136" s="2">
        <v>1</v>
      </c>
      <c r="BM136" s="2">
        <v>0.6</v>
      </c>
      <c r="BN136" s="2">
        <v>0</v>
      </c>
      <c r="BO136" s="2">
        <v>0.32</v>
      </c>
      <c r="BP136" s="2">
        <v>1.62</v>
      </c>
      <c r="BQ136" s="2">
        <v>0.84</v>
      </c>
    </row>
    <row r="137" spans="1:69" x14ac:dyDescent="0.2">
      <c r="A137">
        <v>20</v>
      </c>
      <c r="B137">
        <v>143</v>
      </c>
      <c r="C137" t="s">
        <v>10</v>
      </c>
      <c r="D137" t="s">
        <v>5</v>
      </c>
      <c r="E137">
        <v>4</v>
      </c>
      <c r="F137" s="2">
        <v>434.58064516129025</v>
      </c>
      <c r="G137" s="2">
        <v>426.28979827089324</v>
      </c>
      <c r="H137" s="2">
        <v>773.19139784946242</v>
      </c>
      <c r="I137" s="2">
        <v>793.17855907780972</v>
      </c>
      <c r="J137" s="2">
        <v>1207.7720430107527</v>
      </c>
      <c r="K137" s="2">
        <v>1219.468357348703</v>
      </c>
      <c r="L137" s="2">
        <v>-8.2908468903970061</v>
      </c>
      <c r="M137" s="2">
        <v>11.696314337950298</v>
      </c>
      <c r="N137" s="2">
        <v>2.1280999999999999</v>
      </c>
      <c r="O137" s="2">
        <v>36.120999999999995</v>
      </c>
      <c r="P137" s="2">
        <v>0.56259999999999999</v>
      </c>
      <c r="Q137" s="2">
        <v>2.1713999999999998</v>
      </c>
      <c r="R137" s="2">
        <v>4.8782000000000005</v>
      </c>
      <c r="S137" s="2">
        <v>29.4282</v>
      </c>
      <c r="T137" s="2">
        <v>121.742</v>
      </c>
      <c r="U137" s="2">
        <v>131.3518</v>
      </c>
      <c r="V137" s="2">
        <v>106.23919999999998</v>
      </c>
      <c r="W137" s="2">
        <v>93.922600000000017</v>
      </c>
      <c r="X137" s="2">
        <v>29.9908</v>
      </c>
      <c r="Y137" s="2">
        <v>82.1</v>
      </c>
      <c r="Z137" s="2">
        <v>43.17</v>
      </c>
      <c r="AA137" s="2">
        <v>22.61</v>
      </c>
      <c r="AB137" s="2">
        <v>12.71</v>
      </c>
      <c r="AC137" s="2">
        <v>3.35</v>
      </c>
      <c r="AD137" s="2">
        <v>26.99</v>
      </c>
      <c r="AE137" s="2">
        <v>27.89</v>
      </c>
      <c r="AF137" s="2">
        <v>54.9</v>
      </c>
      <c r="AG137" s="2">
        <v>41.6</v>
      </c>
      <c r="AH137" s="2">
        <v>13.3</v>
      </c>
      <c r="AI137" s="2">
        <v>18.989999999999998</v>
      </c>
      <c r="AJ137" s="2">
        <v>8.23</v>
      </c>
      <c r="AK137" s="2">
        <v>1.7090000000000001</v>
      </c>
      <c r="AL137" s="2">
        <v>1.1950000000000001</v>
      </c>
      <c r="AM137" s="2">
        <v>0.83399999999999996</v>
      </c>
      <c r="AN137" s="2">
        <v>0.7</v>
      </c>
      <c r="AO137" s="2">
        <v>2.0419999999999998</v>
      </c>
      <c r="AP137" s="2">
        <v>0.625</v>
      </c>
      <c r="AQ137" s="2">
        <v>1.0389999999999999</v>
      </c>
      <c r="AR137" s="2">
        <v>1.679</v>
      </c>
      <c r="AS137" s="2">
        <v>28.25</v>
      </c>
      <c r="AT137" s="2">
        <v>385.9</v>
      </c>
      <c r="AU137" s="2">
        <v>1.0580000000000001</v>
      </c>
      <c r="AV137" s="2">
        <v>0.17</v>
      </c>
      <c r="AW137" s="2">
        <v>0.20200000000000001</v>
      </c>
      <c r="AX137" s="2">
        <v>0.378</v>
      </c>
      <c r="AY137" s="2">
        <v>0.42099999999999999</v>
      </c>
      <c r="AZ137" s="2">
        <v>0.56000000000000005</v>
      </c>
      <c r="BA137" s="2">
        <v>0.94</v>
      </c>
      <c r="BB137" s="2">
        <v>7.8</v>
      </c>
      <c r="BC137" s="2">
        <v>75</v>
      </c>
      <c r="BD137" s="2">
        <v>1.9</v>
      </c>
      <c r="BE137" s="2">
        <v>5.3</v>
      </c>
      <c r="BF137" s="2">
        <v>43</v>
      </c>
      <c r="BG137" s="2">
        <v>72</v>
      </c>
      <c r="BH137" s="2">
        <v>820</v>
      </c>
      <c r="BI137" s="2">
        <v>195</v>
      </c>
      <c r="BJ137" s="2">
        <v>16</v>
      </c>
      <c r="BK137" s="2">
        <v>123.4</v>
      </c>
      <c r="BL137" s="2">
        <v>1.7</v>
      </c>
      <c r="BM137" s="2">
        <v>0.8</v>
      </c>
      <c r="BN137" s="2">
        <v>0.1</v>
      </c>
      <c r="BO137" s="2">
        <v>0.18</v>
      </c>
      <c r="BP137" s="2">
        <v>4.0999999999999996</v>
      </c>
      <c r="BQ137" s="2">
        <v>1.6</v>
      </c>
    </row>
    <row r="138" spans="1:69" x14ac:dyDescent="0.2">
      <c r="A138">
        <v>20</v>
      </c>
      <c r="B138">
        <v>220</v>
      </c>
      <c r="C138" t="s">
        <v>10</v>
      </c>
      <c r="D138" t="s">
        <v>0</v>
      </c>
      <c r="E138">
        <v>4</v>
      </c>
      <c r="F138" s="2">
        <v>334.01289198606264</v>
      </c>
      <c r="G138" s="2">
        <v>368.28735806207419</v>
      </c>
      <c r="H138" s="2">
        <v>629.73972125435546</v>
      </c>
      <c r="I138" s="2">
        <v>561.03588190764572</v>
      </c>
      <c r="J138" s="2">
        <v>963.7526132404181</v>
      </c>
      <c r="K138" s="2">
        <v>929.32323996971991</v>
      </c>
      <c r="L138" s="2">
        <v>34.274466076011549</v>
      </c>
      <c r="M138" s="2">
        <v>-34.429373270698193</v>
      </c>
      <c r="N138" s="2">
        <v>1.2734999999999999</v>
      </c>
      <c r="O138" s="2">
        <v>16.189</v>
      </c>
      <c r="P138" s="2">
        <v>0.30380000000000001</v>
      </c>
      <c r="Q138" s="2">
        <v>1.3961999999999999</v>
      </c>
      <c r="R138" s="2">
        <v>3.6206000000000005</v>
      </c>
      <c r="S138" s="2">
        <v>16.715199999999999</v>
      </c>
      <c r="T138" s="2">
        <v>67.295600000000007</v>
      </c>
      <c r="U138" s="2">
        <v>58.468599999999995</v>
      </c>
      <c r="V138" s="2">
        <v>45.0702</v>
      </c>
      <c r="W138" s="2">
        <v>51.672800000000002</v>
      </c>
      <c r="X138" s="2">
        <v>17.018999999999998</v>
      </c>
      <c r="Y138" s="2">
        <v>97.54</v>
      </c>
      <c r="Z138" s="2">
        <v>31.63</v>
      </c>
      <c r="AA138" s="2">
        <v>36.81</v>
      </c>
      <c r="AB138" s="2">
        <v>23.74</v>
      </c>
      <c r="AC138" s="2">
        <v>4.74</v>
      </c>
      <c r="AD138" s="2">
        <v>28.23</v>
      </c>
      <c r="AE138" s="2">
        <v>42.55</v>
      </c>
      <c r="AF138" s="2">
        <v>70.8</v>
      </c>
      <c r="AG138" s="2">
        <v>49.4</v>
      </c>
      <c r="AH138" s="2">
        <v>21.4</v>
      </c>
      <c r="AI138" s="2">
        <v>20.83</v>
      </c>
      <c r="AJ138" s="2">
        <v>5.93</v>
      </c>
      <c r="AK138" s="2">
        <v>1.2070000000000001</v>
      </c>
      <c r="AL138" s="2">
        <v>1.139</v>
      </c>
      <c r="AM138" s="2">
        <v>1.034</v>
      </c>
      <c r="AN138" s="2">
        <v>0.94399999999999995</v>
      </c>
      <c r="AO138" s="2">
        <v>1.3740000000000001</v>
      </c>
      <c r="AP138" s="2">
        <v>0.89300000000000002</v>
      </c>
      <c r="AQ138" s="2">
        <v>1.2350000000000001</v>
      </c>
      <c r="AR138" s="2">
        <v>1.1279999999999999</v>
      </c>
      <c r="AS138" s="2">
        <v>14.36</v>
      </c>
      <c r="AT138" s="2">
        <v>343</v>
      </c>
      <c r="AU138" s="2">
        <v>1.2769999999999999</v>
      </c>
      <c r="AV138" s="2">
        <v>0.8</v>
      </c>
      <c r="AW138" s="2">
        <v>5.2999999999999999E-2</v>
      </c>
      <c r="AX138" s="2">
        <v>0.189</v>
      </c>
      <c r="AY138" s="2">
        <v>0.75700000000000001</v>
      </c>
      <c r="AZ138" s="2">
        <v>0.22</v>
      </c>
      <c r="BA138" s="2">
        <v>1.17</v>
      </c>
      <c r="BB138" s="2">
        <v>4.3</v>
      </c>
      <c r="BC138" s="2">
        <v>73</v>
      </c>
      <c r="BD138" s="2">
        <v>1.2</v>
      </c>
      <c r="BE138" s="2">
        <v>5.5</v>
      </c>
      <c r="BF138" s="2">
        <v>123</v>
      </c>
      <c r="BG138" s="2">
        <v>98</v>
      </c>
      <c r="BH138" s="2">
        <v>379</v>
      </c>
      <c r="BI138" s="2">
        <v>119</v>
      </c>
      <c r="BJ138" s="2">
        <v>12</v>
      </c>
      <c r="BK138" s="2">
        <v>18.100000000000001</v>
      </c>
      <c r="BL138" s="2">
        <v>2.9</v>
      </c>
      <c r="BM138" s="2">
        <v>0.7</v>
      </c>
      <c r="BN138" s="2">
        <v>0</v>
      </c>
      <c r="BO138" s="2">
        <v>0.25</v>
      </c>
      <c r="BP138" s="2">
        <v>1.9</v>
      </c>
      <c r="BQ138" s="2">
        <v>0.98</v>
      </c>
    </row>
    <row r="139" spans="1:69" x14ac:dyDescent="0.2">
      <c r="A139">
        <v>20</v>
      </c>
      <c r="B139">
        <v>264</v>
      </c>
      <c r="C139" t="s">
        <v>10</v>
      </c>
      <c r="D139" t="s">
        <v>7</v>
      </c>
      <c r="E139">
        <v>2</v>
      </c>
      <c r="F139" s="2">
        <v>70.680879413724114</v>
      </c>
      <c r="G139" s="2">
        <v>103.00679643681947</v>
      </c>
      <c r="H139" s="2">
        <v>111.06995336442368</v>
      </c>
      <c r="I139" s="2">
        <v>179.01181128340482</v>
      </c>
      <c r="J139" s="2">
        <v>181.75083277814781</v>
      </c>
      <c r="K139" s="2">
        <v>282.01860772022428</v>
      </c>
      <c r="L139" s="2">
        <v>32.325917023095357</v>
      </c>
      <c r="M139" s="2">
        <v>100.26777494207647</v>
      </c>
      <c r="N139" s="2">
        <v>0.16420000000000001</v>
      </c>
      <c r="O139" s="2">
        <v>2.5165999999999999</v>
      </c>
      <c r="P139" s="2">
        <v>0.17417417417417416</v>
      </c>
      <c r="Q139" s="2">
        <v>2.4329999999999998</v>
      </c>
      <c r="R139" s="2">
        <v>4.1342000000000008</v>
      </c>
      <c r="S139" s="2">
        <v>13.296096096096095</v>
      </c>
      <c r="T139" s="2">
        <v>26.370799999999999</v>
      </c>
      <c r="U139" s="2">
        <v>100.9678</v>
      </c>
      <c r="V139" s="2">
        <v>91.631729729729727</v>
      </c>
      <c r="W139" s="2">
        <v>15.333529729729729</v>
      </c>
      <c r="X139" s="2">
        <v>13.470270270270269</v>
      </c>
      <c r="Y139" s="2">
        <v>107.98</v>
      </c>
      <c r="Z139" s="2">
        <v>57.21</v>
      </c>
      <c r="AA139" s="2">
        <v>29.54</v>
      </c>
      <c r="AB139" s="2">
        <v>17.38</v>
      </c>
      <c r="AC139" s="2">
        <v>3.61</v>
      </c>
      <c r="AD139" s="2">
        <v>30.23</v>
      </c>
      <c r="AE139" s="2">
        <v>34.799999999999997</v>
      </c>
      <c r="AF139" s="2">
        <v>65</v>
      </c>
      <c r="AG139" s="2">
        <v>54.7</v>
      </c>
      <c r="AH139" s="2">
        <v>10.4</v>
      </c>
      <c r="AI139" s="2">
        <v>32.83</v>
      </c>
      <c r="AJ139" s="2">
        <v>10.119999999999999</v>
      </c>
      <c r="AK139" s="2">
        <v>1.72</v>
      </c>
      <c r="AL139" s="2">
        <v>1.0549999999999999</v>
      </c>
      <c r="AM139" s="2">
        <v>0.75</v>
      </c>
      <c r="AN139" s="2">
        <v>0.61399999999999999</v>
      </c>
      <c r="AO139" s="2">
        <v>1.8140000000000001</v>
      </c>
      <c r="AP139" s="2">
        <v>0.52800000000000002</v>
      </c>
      <c r="AQ139" s="2">
        <v>1.367</v>
      </c>
      <c r="AR139" s="2">
        <v>0.46400000000000002</v>
      </c>
      <c r="AS139" s="2">
        <v>5.77</v>
      </c>
      <c r="AT139" s="2">
        <v>90.2</v>
      </c>
      <c r="AU139" s="2">
        <v>1.6970000000000001</v>
      </c>
      <c r="AV139" s="2">
        <v>0.93</v>
      </c>
      <c r="AW139" s="2">
        <v>0.126</v>
      </c>
      <c r="AX139" s="2">
        <v>0.158</v>
      </c>
      <c r="AY139" s="2">
        <v>0.71599999999999997</v>
      </c>
      <c r="AZ139" s="2">
        <v>0.13</v>
      </c>
      <c r="BA139" s="2">
        <v>1.1599999999999999</v>
      </c>
      <c r="BB139" s="2">
        <v>4.7</v>
      </c>
      <c r="BC139" s="2">
        <v>85</v>
      </c>
      <c r="BD139" s="2">
        <v>0.7</v>
      </c>
      <c r="BE139" s="2">
        <v>6</v>
      </c>
      <c r="BF139" s="2">
        <v>70</v>
      </c>
      <c r="BG139" s="2">
        <v>107</v>
      </c>
      <c r="BH139" s="2">
        <v>486</v>
      </c>
      <c r="BI139" s="2">
        <v>159</v>
      </c>
      <c r="BJ139" s="2">
        <v>10</v>
      </c>
      <c r="BK139" s="2">
        <v>9</v>
      </c>
      <c r="BL139" s="2">
        <v>1.1000000000000001</v>
      </c>
      <c r="BM139" s="2">
        <v>1</v>
      </c>
      <c r="BN139" s="2">
        <v>0</v>
      </c>
      <c r="BO139" s="2">
        <v>0.27</v>
      </c>
      <c r="BP139" s="2">
        <v>2.4300000000000002</v>
      </c>
      <c r="BQ139" s="2">
        <v>1.31</v>
      </c>
    </row>
    <row r="140" spans="1:69" x14ac:dyDescent="0.2">
      <c r="A140">
        <v>20</v>
      </c>
      <c r="B140">
        <v>282</v>
      </c>
      <c r="C140" t="s">
        <v>10</v>
      </c>
      <c r="D140" t="s">
        <v>0</v>
      </c>
      <c r="E140">
        <v>3</v>
      </c>
      <c r="F140" s="2">
        <v>282.44351315202846</v>
      </c>
      <c r="G140" s="2">
        <v>318.3781212841854</v>
      </c>
      <c r="H140" s="2">
        <v>594.61792242532329</v>
      </c>
      <c r="I140" s="2">
        <v>610.32485136741968</v>
      </c>
      <c r="J140" s="2">
        <v>877.06143557735174</v>
      </c>
      <c r="K140" s="2">
        <v>928.70297265160502</v>
      </c>
      <c r="L140" s="2">
        <v>35.934608132156939</v>
      </c>
      <c r="M140" s="2">
        <v>51.641537074253279</v>
      </c>
      <c r="N140" s="2">
        <v>1.6880999999999999</v>
      </c>
      <c r="O140" s="2">
        <v>24.531999999999996</v>
      </c>
      <c r="P140" s="2">
        <v>0.35680000000000001</v>
      </c>
      <c r="Q140" s="2">
        <v>1.3565999999999998</v>
      </c>
      <c r="R140" s="2">
        <v>12.101000000000001</v>
      </c>
      <c r="S140" s="2">
        <v>27.96</v>
      </c>
      <c r="T140" s="2">
        <v>102.25040000000001</v>
      </c>
      <c r="U140" s="2">
        <v>14.359</v>
      </c>
      <c r="V140" s="2">
        <v>-1.8567999999999998</v>
      </c>
      <c r="W140" s="2">
        <v>75.290200000000013</v>
      </c>
      <c r="X140" s="2">
        <v>28.316800000000001</v>
      </c>
      <c r="Y140" s="2">
        <v>91.47</v>
      </c>
      <c r="Z140" s="2">
        <v>36.49</v>
      </c>
      <c r="AA140" s="2">
        <v>31.04</v>
      </c>
      <c r="AB140" s="2">
        <v>18.22</v>
      </c>
      <c r="AC140" s="2">
        <v>5.29</v>
      </c>
      <c r="AD140" s="2">
        <v>33.03</v>
      </c>
      <c r="AE140" s="2">
        <v>34.450000000000003</v>
      </c>
      <c r="AF140" s="2">
        <v>67.5</v>
      </c>
      <c r="AG140" s="2">
        <v>46.3</v>
      </c>
      <c r="AH140" s="2">
        <v>21.2</v>
      </c>
      <c r="AI140" s="2">
        <v>17.93</v>
      </c>
      <c r="AJ140" s="2">
        <v>6.06</v>
      </c>
      <c r="AK140" s="2">
        <v>1.391</v>
      </c>
      <c r="AL140" s="2">
        <v>1.3049999999999999</v>
      </c>
      <c r="AM140" s="2">
        <v>0.999</v>
      </c>
      <c r="AN140" s="2">
        <v>0.93799999999999994</v>
      </c>
      <c r="AO140" s="2">
        <v>1.8149999999999999</v>
      </c>
      <c r="AP140" s="2">
        <v>0.90500000000000003</v>
      </c>
      <c r="AQ140" s="2">
        <v>1.1579999999999999</v>
      </c>
      <c r="AR140" s="2">
        <v>1.581</v>
      </c>
      <c r="AS140" s="2">
        <v>23.04</v>
      </c>
      <c r="AT140" s="2">
        <v>269.3</v>
      </c>
      <c r="AU140" s="2">
        <v>1.3520000000000001</v>
      </c>
      <c r="AV140" s="2">
        <v>7.75</v>
      </c>
      <c r="AW140" s="2">
        <v>9.0999999999999998E-2</v>
      </c>
      <c r="AX140" s="2">
        <v>0.187</v>
      </c>
      <c r="AY140" s="2">
        <v>0.72199999999999998</v>
      </c>
      <c r="AZ140" s="2">
        <v>0.46</v>
      </c>
      <c r="BA140" s="2">
        <v>1.05</v>
      </c>
      <c r="BB140" s="2">
        <v>5.2</v>
      </c>
      <c r="BC140" s="2">
        <v>62</v>
      </c>
      <c r="BD140" s="2">
        <v>2</v>
      </c>
      <c r="BE140" s="2">
        <v>5</v>
      </c>
      <c r="BF140" s="2">
        <v>124</v>
      </c>
      <c r="BG140" s="2">
        <v>92</v>
      </c>
      <c r="BH140" s="2">
        <v>426</v>
      </c>
      <c r="BI140" s="2">
        <v>103</v>
      </c>
      <c r="BJ140" s="2">
        <v>15</v>
      </c>
      <c r="BK140" s="2">
        <v>45.4</v>
      </c>
      <c r="BL140" s="2">
        <v>27.4</v>
      </c>
      <c r="BM140" s="2">
        <v>1.8</v>
      </c>
      <c r="BN140" s="2">
        <v>0</v>
      </c>
      <c r="BO140" s="2">
        <v>0.24</v>
      </c>
      <c r="BP140" s="2">
        <v>2.13</v>
      </c>
      <c r="BQ140" s="2">
        <v>0.85</v>
      </c>
    </row>
    <row r="141" spans="1:69" x14ac:dyDescent="0.2">
      <c r="A141">
        <v>20</v>
      </c>
      <c r="B141">
        <v>300</v>
      </c>
      <c r="C141" t="s">
        <v>10</v>
      </c>
      <c r="D141" t="s">
        <v>0</v>
      </c>
      <c r="E141">
        <v>2</v>
      </c>
      <c r="F141" s="2">
        <v>400.26850068775792</v>
      </c>
      <c r="G141" s="2">
        <v>570.24071856287412</v>
      </c>
      <c r="H141" s="2">
        <v>617.08060522696019</v>
      </c>
      <c r="I141" s="2">
        <v>990.7365269461078</v>
      </c>
      <c r="J141" s="2">
        <v>1017.3491059147182</v>
      </c>
      <c r="K141" s="2">
        <v>1560.9772455089819</v>
      </c>
      <c r="L141" s="2">
        <v>169.9722178751162</v>
      </c>
      <c r="M141" s="2">
        <v>543.62813959426376</v>
      </c>
      <c r="N141" s="2">
        <v>2.8150999999999997</v>
      </c>
      <c r="O141" s="2">
        <v>28.701000000000001</v>
      </c>
      <c r="P141" s="2">
        <v>0.2656</v>
      </c>
      <c r="Q141" s="2">
        <v>2.3489999999999998</v>
      </c>
      <c r="R141" s="2">
        <v>7.1918000000000006</v>
      </c>
      <c r="S141" s="2">
        <v>33.937800000000003</v>
      </c>
      <c r="T141" s="2">
        <v>130.59559999999999</v>
      </c>
      <c r="U141" s="2">
        <v>150.1354</v>
      </c>
      <c r="V141" s="2">
        <v>123.1238</v>
      </c>
      <c r="W141" s="2">
        <v>98.741199999999978</v>
      </c>
      <c r="X141" s="2">
        <v>34.203400000000002</v>
      </c>
      <c r="Y141" s="2">
        <v>81.400000000000006</v>
      </c>
      <c r="Z141" s="2">
        <v>41.29</v>
      </c>
      <c r="AA141" s="2">
        <v>26.39</v>
      </c>
      <c r="AB141" s="2">
        <v>11.05</v>
      </c>
      <c r="AC141" s="2">
        <v>2.4</v>
      </c>
      <c r="AD141" s="2">
        <v>36.74</v>
      </c>
      <c r="AE141" s="2">
        <v>29.49</v>
      </c>
      <c r="AF141" s="2">
        <v>66.2</v>
      </c>
      <c r="AG141" s="2">
        <v>41.2</v>
      </c>
      <c r="AH141" s="2">
        <v>25</v>
      </c>
      <c r="AI141" s="2">
        <v>11.89</v>
      </c>
      <c r="AJ141" s="2">
        <v>3.28</v>
      </c>
      <c r="AK141" s="2">
        <v>1.6819999999999999</v>
      </c>
      <c r="AL141" s="2">
        <v>1.5469999999999999</v>
      </c>
      <c r="AM141" s="2">
        <v>0.97899999999999998</v>
      </c>
      <c r="AN141" s="2">
        <v>0.92</v>
      </c>
      <c r="AO141" s="2">
        <v>2.6030000000000002</v>
      </c>
      <c r="AP141" s="2">
        <v>0.89</v>
      </c>
      <c r="AQ141" s="2">
        <v>1.03</v>
      </c>
      <c r="AR141" s="2">
        <v>2.2349999999999999</v>
      </c>
      <c r="AS141" s="2">
        <v>24.35</v>
      </c>
      <c r="AT141" s="2">
        <v>414.5</v>
      </c>
      <c r="AU141" s="2">
        <v>1.181</v>
      </c>
      <c r="AV141" s="2">
        <v>0.54</v>
      </c>
      <c r="AW141" s="2">
        <v>0.111</v>
      </c>
      <c r="AX141" s="2">
        <v>0.19800000000000001</v>
      </c>
      <c r="AY141" s="2">
        <v>0.69099999999999995</v>
      </c>
      <c r="AZ141" s="2">
        <v>0.6</v>
      </c>
      <c r="BA141" s="2">
        <v>0.9</v>
      </c>
      <c r="BB141" s="2">
        <v>6.4</v>
      </c>
      <c r="BC141" s="2">
        <v>75</v>
      </c>
      <c r="BD141" s="2">
        <v>1.6</v>
      </c>
      <c r="BE141" s="2">
        <v>5.5</v>
      </c>
      <c r="BF141" s="2">
        <v>88</v>
      </c>
      <c r="BG141" s="2">
        <v>130</v>
      </c>
      <c r="BH141" s="2">
        <v>665</v>
      </c>
      <c r="BI141" s="2">
        <v>138</v>
      </c>
      <c r="BJ141" s="2">
        <v>13</v>
      </c>
      <c r="BK141" s="2">
        <v>29.8</v>
      </c>
      <c r="BL141" s="2">
        <v>9.6999999999999993</v>
      </c>
      <c r="BM141" s="2">
        <v>1.7</v>
      </c>
      <c r="BN141" s="2">
        <v>0</v>
      </c>
      <c r="BO141" s="2">
        <v>0.33</v>
      </c>
      <c r="BP141" s="2">
        <v>3.33</v>
      </c>
      <c r="BQ141" s="2">
        <v>1.1299999999999999</v>
      </c>
    </row>
    <row r="142" spans="1:69" x14ac:dyDescent="0.2">
      <c r="A142">
        <v>10</v>
      </c>
      <c r="B142">
        <v>10</v>
      </c>
      <c r="C142" t="s">
        <v>9</v>
      </c>
      <c r="D142" t="s">
        <v>7</v>
      </c>
      <c r="E142">
        <v>1</v>
      </c>
      <c r="F142" s="2">
        <v>73.496510161176928</v>
      </c>
      <c r="G142" s="2">
        <v>137.31803646563796</v>
      </c>
      <c r="H142" s="2">
        <v>176.30665732305539</v>
      </c>
      <c r="I142" s="2">
        <v>180.68162692847116</v>
      </c>
      <c r="J142" s="2">
        <v>249.80316748423232</v>
      </c>
      <c r="K142" s="2">
        <v>317.99966339410912</v>
      </c>
      <c r="L142" s="2">
        <v>63.821526304461031</v>
      </c>
      <c r="M142" s="2">
        <v>68.196495909876802</v>
      </c>
      <c r="N142" s="2">
        <v>0.5615</v>
      </c>
      <c r="O142" s="2">
        <v>10.333000000000002</v>
      </c>
      <c r="P142" s="2">
        <v>0.59019999999999995</v>
      </c>
      <c r="Q142" s="2">
        <v>1.8275724275724274</v>
      </c>
      <c r="R142" s="2">
        <v>1.2378</v>
      </c>
      <c r="S142" s="2">
        <v>9.2593999999999994</v>
      </c>
      <c r="T142" s="2">
        <v>23.948051948051951</v>
      </c>
      <c r="U142" s="2">
        <v>22.305199999999999</v>
      </c>
      <c r="V142" s="2">
        <v>13.6934</v>
      </c>
      <c r="W142" s="2">
        <v>15.92602437562438</v>
      </c>
      <c r="X142" s="2">
        <v>9.8495999999999988</v>
      </c>
      <c r="Y142" s="2">
        <v>114.09</v>
      </c>
      <c r="Z142" s="2">
        <v>29.85</v>
      </c>
      <c r="AA142" s="2">
        <v>38</v>
      </c>
      <c r="AB142" s="2">
        <v>33.26</v>
      </c>
      <c r="AC142" s="2">
        <v>12.54</v>
      </c>
      <c r="AD142" s="2">
        <v>11.33</v>
      </c>
      <c r="AE142" s="2">
        <v>42.56</v>
      </c>
      <c r="AF142" s="2">
        <v>53.9</v>
      </c>
      <c r="AG142" s="2">
        <v>57.8</v>
      </c>
      <c r="AH142" s="2">
        <v>-3.9</v>
      </c>
      <c r="AI142" s="2">
        <v>44.77</v>
      </c>
      <c r="AJ142" s="2">
        <v>15.43</v>
      </c>
      <c r="AK142" s="2">
        <v>1.008</v>
      </c>
      <c r="AL142" s="2">
        <v>0.58199999999999996</v>
      </c>
      <c r="AM142" s="2">
        <v>0.79400000000000004</v>
      </c>
      <c r="AN142" s="2">
        <v>0.57799999999999996</v>
      </c>
      <c r="AO142" s="2">
        <v>0.58599999999999997</v>
      </c>
      <c r="AP142" s="2">
        <v>0.38</v>
      </c>
      <c r="AQ142" s="2">
        <v>1.444</v>
      </c>
      <c r="AR142" s="2">
        <v>0.67200000000000004</v>
      </c>
      <c r="AS142" s="2">
        <v>12.4</v>
      </c>
      <c r="AT142" s="2">
        <v>96.4</v>
      </c>
      <c r="AU142" s="2">
        <v>1.538</v>
      </c>
      <c r="AV142" s="2">
        <v>0.06</v>
      </c>
      <c r="AW142" s="2">
        <v>9.0999999999999998E-2</v>
      </c>
      <c r="AX142" s="2">
        <v>0.24399999999999999</v>
      </c>
      <c r="AY142" s="2">
        <v>0.66600000000000004</v>
      </c>
      <c r="AZ142" s="2">
        <v>0.86</v>
      </c>
      <c r="BA142" s="2">
        <v>1.35</v>
      </c>
      <c r="BB142" s="2">
        <v>6.1</v>
      </c>
      <c r="BC142" s="2">
        <v>86</v>
      </c>
      <c r="BD142" s="2">
        <v>0.9</v>
      </c>
      <c r="BE142" s="2">
        <v>6.2</v>
      </c>
      <c r="BF142" s="2">
        <v>59</v>
      </c>
      <c r="BG142" s="2">
        <v>113</v>
      </c>
      <c r="BH142" s="2">
        <v>851</v>
      </c>
      <c r="BI142" s="2">
        <v>80</v>
      </c>
      <c r="BJ142" s="2">
        <v>11</v>
      </c>
      <c r="BK142" s="2">
        <v>12.5</v>
      </c>
      <c r="BL142" s="2">
        <v>1.2</v>
      </c>
      <c r="BM142" s="2">
        <v>2</v>
      </c>
      <c r="BN142" s="2">
        <v>0</v>
      </c>
      <c r="BO142" s="2">
        <v>0.28999999999999998</v>
      </c>
      <c r="BP142" s="2">
        <v>4.26</v>
      </c>
      <c r="BQ142" s="2">
        <v>0.66</v>
      </c>
    </row>
    <row r="143" spans="1:69" x14ac:dyDescent="0.2">
      <c r="A143">
        <v>20</v>
      </c>
      <c r="B143">
        <v>21</v>
      </c>
      <c r="C143" t="s">
        <v>9</v>
      </c>
      <c r="D143" t="s">
        <v>5</v>
      </c>
      <c r="E143">
        <v>3</v>
      </c>
      <c r="F143" s="2">
        <v>591.12844574780036</v>
      </c>
      <c r="G143" s="2">
        <v>492.1152242577383</v>
      </c>
      <c r="H143" s="2">
        <v>1135.5888563049853</v>
      </c>
      <c r="I143" s="2">
        <v>1028.2718888186987</v>
      </c>
      <c r="J143" s="2">
        <v>1726.7173020527857</v>
      </c>
      <c r="K143" s="2">
        <v>1520.3871130764369</v>
      </c>
      <c r="L143" s="2">
        <v>-99.013221490062051</v>
      </c>
      <c r="M143" s="2">
        <v>-206.33018897634884</v>
      </c>
      <c r="N143" s="2">
        <v>4.4181999999999997</v>
      </c>
      <c r="O143" s="2">
        <v>64.554000000000002</v>
      </c>
      <c r="P143" s="2">
        <v>0.4476</v>
      </c>
      <c r="Q143" s="2">
        <v>1.8797999999999999</v>
      </c>
      <c r="R143" s="2">
        <v>4.9742000000000006</v>
      </c>
      <c r="S143" s="2">
        <v>55.687199999999997</v>
      </c>
      <c r="T143" s="2">
        <v>203.47879999999998</v>
      </c>
      <c r="U143" s="2">
        <v>190.37980000000002</v>
      </c>
      <c r="V143" s="2">
        <v>139.2192</v>
      </c>
      <c r="W143" s="2">
        <v>149.22379999999998</v>
      </c>
      <c r="X143" s="2">
        <v>56.134799999999998</v>
      </c>
      <c r="Y143" s="2">
        <v>66.069999999999993</v>
      </c>
      <c r="Z143" s="2">
        <v>34.33</v>
      </c>
      <c r="AA143" s="2">
        <v>14.9</v>
      </c>
      <c r="AB143" s="2">
        <v>9.6300000000000008</v>
      </c>
      <c r="AC143" s="2">
        <v>6.84</v>
      </c>
      <c r="AD143" s="2">
        <v>25.1</v>
      </c>
      <c r="AE143" s="2">
        <v>19.829999999999998</v>
      </c>
      <c r="AF143" s="2">
        <v>44.9</v>
      </c>
      <c r="AG143" s="2">
        <v>33.5</v>
      </c>
      <c r="AH143" s="2">
        <v>11.5</v>
      </c>
      <c r="AI143" s="2">
        <v>13.51</v>
      </c>
      <c r="AJ143" s="2">
        <v>7.63</v>
      </c>
      <c r="AK143" s="2">
        <v>1.66</v>
      </c>
      <c r="AL143" s="2">
        <v>1.3140000000000001</v>
      </c>
      <c r="AM143" s="2">
        <v>0.91300000000000003</v>
      </c>
      <c r="AN143" s="2">
        <v>0.79200000000000004</v>
      </c>
      <c r="AO143" s="2">
        <v>2.181</v>
      </c>
      <c r="AP143" s="2">
        <v>0.73099999999999998</v>
      </c>
      <c r="AQ143" s="2">
        <v>0.83599999999999997</v>
      </c>
      <c r="AR143" s="2">
        <v>3.823</v>
      </c>
      <c r="AS143" s="2">
        <v>59.82</v>
      </c>
      <c r="AT143" s="2">
        <v>479.8</v>
      </c>
      <c r="AU143" s="2">
        <v>0.84499999999999997</v>
      </c>
      <c r="AV143" s="2">
        <v>0.23</v>
      </c>
      <c r="AW143" s="2">
        <v>0.216</v>
      </c>
      <c r="AX143" s="2">
        <v>0.52800000000000002</v>
      </c>
      <c r="AY143" s="2">
        <v>0.25600000000000001</v>
      </c>
      <c r="AZ143" s="2">
        <v>2.15</v>
      </c>
      <c r="BA143" s="2">
        <v>0.73</v>
      </c>
      <c r="BB143" s="2">
        <v>7.4</v>
      </c>
      <c r="BC143" s="2">
        <v>49</v>
      </c>
      <c r="BD143" s="2">
        <v>3.8</v>
      </c>
      <c r="BE143" s="2">
        <v>4.5999999999999996</v>
      </c>
      <c r="BF143" s="2">
        <v>62</v>
      </c>
      <c r="BG143" s="2">
        <v>120</v>
      </c>
      <c r="BH143" s="2">
        <v>525</v>
      </c>
      <c r="BI143" s="2">
        <v>82</v>
      </c>
      <c r="BJ143" s="2">
        <v>32</v>
      </c>
      <c r="BK143" s="2">
        <v>9.4</v>
      </c>
      <c r="BL143" s="2">
        <v>6.1</v>
      </c>
      <c r="BM143" s="2">
        <v>3.2</v>
      </c>
      <c r="BN143" s="2">
        <v>0</v>
      </c>
      <c r="BO143" s="2">
        <v>0.31</v>
      </c>
      <c r="BP143" s="2">
        <v>2.63</v>
      </c>
      <c r="BQ143" s="2">
        <v>0.67</v>
      </c>
    </row>
    <row r="144" spans="1:69" x14ac:dyDescent="0.2">
      <c r="A144">
        <v>10</v>
      </c>
      <c r="B144">
        <v>64</v>
      </c>
      <c r="C144" t="s">
        <v>9</v>
      </c>
      <c r="D144" t="s">
        <v>7</v>
      </c>
      <c r="E144">
        <v>3</v>
      </c>
      <c r="F144" s="2">
        <v>171.15637772397073</v>
      </c>
      <c r="G144" s="2">
        <v>73.389907235621507</v>
      </c>
      <c r="H144" s="2">
        <v>106.86264406779651</v>
      </c>
      <c r="I144" s="2">
        <v>143.68675324675331</v>
      </c>
      <c r="J144" s="2">
        <v>278.01902179176727</v>
      </c>
      <c r="K144" s="2">
        <v>217.07666048237482</v>
      </c>
      <c r="L144" s="2">
        <v>-97.766470488349228</v>
      </c>
      <c r="M144" s="2">
        <v>-60.942361309392453</v>
      </c>
      <c r="N144" s="2">
        <v>0.32669999999999999</v>
      </c>
      <c r="O144" s="2">
        <v>5.6958000000000002</v>
      </c>
      <c r="P144" s="2">
        <v>0.28320000000000001</v>
      </c>
      <c r="Q144" s="2">
        <v>0.8544910179640719</v>
      </c>
      <c r="R144" s="2">
        <v>2.3861999999999997</v>
      </c>
      <c r="S144" s="2">
        <v>9.7645999999999997</v>
      </c>
      <c r="T144" s="2">
        <v>10.254690618762476</v>
      </c>
      <c r="U144" s="2">
        <v>10.549999999999999</v>
      </c>
      <c r="V144" s="2">
        <v>2.888399999999999</v>
      </c>
      <c r="W144" s="2">
        <v>1.0613816367265478</v>
      </c>
      <c r="X144" s="2">
        <v>10.047800000000001</v>
      </c>
      <c r="Y144" s="2">
        <v>116.02</v>
      </c>
      <c r="Z144" s="2">
        <v>45.16</v>
      </c>
      <c r="AA144" s="2">
        <v>32.840000000000003</v>
      </c>
      <c r="AB144" s="2">
        <v>31.05</v>
      </c>
      <c r="AC144" s="2">
        <v>6.55</v>
      </c>
      <c r="AD144" s="2">
        <v>7.37</v>
      </c>
      <c r="AE144" s="2">
        <v>44.81</v>
      </c>
      <c r="AF144" s="2">
        <v>52.2</v>
      </c>
      <c r="AG144" s="2">
        <v>58.7</v>
      </c>
      <c r="AH144" s="2">
        <v>-6.6</v>
      </c>
      <c r="AI144" s="2">
        <v>50.38</v>
      </c>
      <c r="AJ144" s="2">
        <v>13.46</v>
      </c>
      <c r="AK144" s="2">
        <v>1.3380000000000001</v>
      </c>
      <c r="AL144" s="2">
        <v>0.49299999999999999</v>
      </c>
      <c r="AM144" s="2">
        <v>0.66900000000000004</v>
      </c>
      <c r="AN144" s="2">
        <v>0.36899999999999999</v>
      </c>
      <c r="AO144" s="2">
        <v>0.66</v>
      </c>
      <c r="AP144" s="2">
        <v>0.16300000000000001</v>
      </c>
      <c r="AQ144" s="2">
        <v>1.4690000000000001</v>
      </c>
      <c r="AR144" s="2">
        <v>0.36</v>
      </c>
      <c r="AS144" s="2">
        <v>6.57</v>
      </c>
      <c r="AT144" s="2">
        <v>51.8</v>
      </c>
      <c r="AU144" s="2">
        <v>1.69</v>
      </c>
      <c r="AV144" s="2">
        <v>0</v>
      </c>
      <c r="AW144" s="2">
        <v>0.108</v>
      </c>
      <c r="AX144" s="2">
        <v>0.20799999999999999</v>
      </c>
      <c r="AY144" s="2">
        <v>0.68500000000000005</v>
      </c>
      <c r="AZ144" s="2">
        <v>0.46</v>
      </c>
      <c r="BA144" s="2">
        <v>1.3</v>
      </c>
      <c r="BB144" s="2">
        <v>5.3</v>
      </c>
      <c r="BC144" s="2">
        <v>95</v>
      </c>
      <c r="BD144" s="2">
        <v>0.3</v>
      </c>
      <c r="BE144" s="2">
        <v>6.6</v>
      </c>
      <c r="BF144" s="2">
        <v>26</v>
      </c>
      <c r="BG144" s="2">
        <v>46</v>
      </c>
      <c r="BH144" s="2">
        <v>689</v>
      </c>
      <c r="BI144" s="2">
        <v>171</v>
      </c>
      <c r="BJ144" s="2">
        <v>9</v>
      </c>
      <c r="BK144" s="2">
        <v>6.6</v>
      </c>
      <c r="BL144" s="2">
        <v>0.6</v>
      </c>
      <c r="BM144" s="2">
        <v>0.4</v>
      </c>
      <c r="BN144" s="2">
        <v>0</v>
      </c>
      <c r="BO144" s="2">
        <v>0.12</v>
      </c>
      <c r="BP144" s="2">
        <v>3.45</v>
      </c>
      <c r="BQ144" s="2">
        <v>1.41</v>
      </c>
    </row>
    <row r="145" spans="1:69" x14ac:dyDescent="0.2">
      <c r="A145">
        <v>20</v>
      </c>
      <c r="B145">
        <v>69</v>
      </c>
      <c r="C145" t="s">
        <v>9</v>
      </c>
      <c r="D145" t="s">
        <v>0</v>
      </c>
      <c r="E145">
        <v>3</v>
      </c>
      <c r="F145" s="2">
        <v>166.09315068493154</v>
      </c>
      <c r="G145" s="2">
        <v>240.91757451181903</v>
      </c>
      <c r="H145" s="2">
        <v>314.39060665362035</v>
      </c>
      <c r="I145" s="2">
        <v>478.71983556012339</v>
      </c>
      <c r="J145" s="2">
        <v>480.48375733855187</v>
      </c>
      <c r="K145" s="2">
        <v>719.63741007194244</v>
      </c>
      <c r="L145" s="2">
        <v>74.824423826887482</v>
      </c>
      <c r="M145" s="2">
        <v>239.15365273339057</v>
      </c>
      <c r="N145" s="2">
        <v>0.90480000000000005</v>
      </c>
      <c r="O145" s="2">
        <v>14.554</v>
      </c>
      <c r="P145" s="2">
        <v>0.3906</v>
      </c>
      <c r="Q145" s="2">
        <v>9.000000000000008E-3</v>
      </c>
      <c r="R145" s="2">
        <v>4.0010000000000003</v>
      </c>
      <c r="S145" s="2">
        <v>14.4658</v>
      </c>
      <c r="T145" s="2">
        <v>40.8992</v>
      </c>
      <c r="U145" s="2">
        <v>42.074199999999998</v>
      </c>
      <c r="V145" s="2">
        <v>31.218799999999995</v>
      </c>
      <c r="W145" s="2">
        <v>26.0518</v>
      </c>
      <c r="X145" s="2">
        <v>14.856399999999999</v>
      </c>
      <c r="Y145" s="2">
        <v>106.06</v>
      </c>
      <c r="Z145" s="2">
        <v>18.579999999999998</v>
      </c>
      <c r="AA145" s="2">
        <v>45.98</v>
      </c>
      <c r="AB145" s="2">
        <v>34.590000000000003</v>
      </c>
      <c r="AC145" s="2">
        <v>6.56</v>
      </c>
      <c r="AD145" s="2">
        <v>19</v>
      </c>
      <c r="AE145" s="2">
        <v>52.15</v>
      </c>
      <c r="AF145" s="2">
        <v>71.2</v>
      </c>
      <c r="AG145" s="2">
        <v>53.7</v>
      </c>
      <c r="AH145" s="2">
        <v>17.399999999999999</v>
      </c>
      <c r="AI145" s="2">
        <v>26.73</v>
      </c>
      <c r="AJ145" s="2">
        <v>8.18</v>
      </c>
      <c r="AK145" s="2">
        <v>0.82599999999999996</v>
      </c>
      <c r="AL145" s="2">
        <v>0.86299999999999999</v>
      </c>
      <c r="AM145" s="2">
        <v>1.1020000000000001</v>
      </c>
      <c r="AN145" s="2">
        <v>1.0449999999999999</v>
      </c>
      <c r="AO145" s="2">
        <v>0.71299999999999997</v>
      </c>
      <c r="AP145" s="2">
        <v>1.0229999999999999</v>
      </c>
      <c r="AQ145" s="2">
        <v>1.343</v>
      </c>
      <c r="AR145" s="2">
        <v>0.999</v>
      </c>
      <c r="AS145" s="2">
        <v>16.43</v>
      </c>
      <c r="AT145" s="2">
        <v>177.7</v>
      </c>
      <c r="AU145" s="2">
        <v>1.5069999999999999</v>
      </c>
      <c r="AV145" s="2">
        <v>0.19</v>
      </c>
      <c r="AW145" s="2">
        <v>6.9000000000000006E-2</v>
      </c>
      <c r="AX145" s="2">
        <v>0.17</v>
      </c>
      <c r="AY145" s="2">
        <v>0.76100000000000001</v>
      </c>
      <c r="AZ145" s="2">
        <v>0.71</v>
      </c>
      <c r="BA145" s="2">
        <v>1.21</v>
      </c>
      <c r="BB145" s="2">
        <v>4.3</v>
      </c>
      <c r="BC145" s="2">
        <v>64</v>
      </c>
      <c r="BD145" s="2">
        <v>1.5</v>
      </c>
      <c r="BE145" s="2">
        <v>5.4</v>
      </c>
      <c r="BF145" s="2">
        <v>23</v>
      </c>
      <c r="BG145" s="2">
        <v>25</v>
      </c>
      <c r="BH145" s="2">
        <v>394</v>
      </c>
      <c r="BI145" s="2">
        <v>85</v>
      </c>
      <c r="BJ145" s="2">
        <v>13</v>
      </c>
      <c r="BK145" s="2">
        <v>5.8</v>
      </c>
      <c r="BL145" s="2">
        <v>1.4</v>
      </c>
      <c r="BM145" s="2">
        <v>2</v>
      </c>
      <c r="BN145" s="2">
        <v>0</v>
      </c>
      <c r="BO145" s="2">
        <v>0.06</v>
      </c>
      <c r="BP145" s="2">
        <v>1.97</v>
      </c>
      <c r="BQ145" s="2">
        <v>0.7</v>
      </c>
    </row>
    <row r="146" spans="1:69" x14ac:dyDescent="0.2">
      <c r="A146">
        <v>10</v>
      </c>
      <c r="B146">
        <v>70</v>
      </c>
      <c r="C146" t="s">
        <v>9</v>
      </c>
      <c r="D146" t="s">
        <v>7</v>
      </c>
      <c r="E146">
        <v>4</v>
      </c>
      <c r="F146" s="2">
        <v>151.42150472129148</v>
      </c>
      <c r="G146" s="2">
        <v>68.917798594847568</v>
      </c>
      <c r="H146" s="2">
        <v>213.28272921108743</v>
      </c>
      <c r="I146" s="2">
        <v>221.54262295081972</v>
      </c>
      <c r="J146" s="2">
        <v>364.70423393237888</v>
      </c>
      <c r="K146" s="2">
        <v>290.46042154566726</v>
      </c>
      <c r="L146" s="2">
        <v>-82.503706126443916</v>
      </c>
      <c r="M146" s="2">
        <v>-74.243812386711625</v>
      </c>
      <c r="N146" s="2">
        <v>0.42360000000000003</v>
      </c>
      <c r="O146" s="2">
        <v>6.6898</v>
      </c>
      <c r="P146" s="2">
        <v>0.39479999999999998</v>
      </c>
      <c r="Q146" s="2">
        <v>1.1166833166833166</v>
      </c>
      <c r="R146" s="2">
        <v>0.99800199800199807</v>
      </c>
      <c r="S146" s="2">
        <v>8.2443999999999988</v>
      </c>
      <c r="T146" s="2">
        <v>14.276123876123876</v>
      </c>
      <c r="U146" s="2">
        <v>12.371228771228772</v>
      </c>
      <c r="V146" s="2">
        <v>4.7300307692307708</v>
      </c>
      <c r="W146" s="2">
        <v>6.753607192807193</v>
      </c>
      <c r="X146" s="2">
        <v>8.6391999999999989</v>
      </c>
      <c r="Y146" s="2">
        <v>114.94</v>
      </c>
      <c r="Z146" s="2">
        <v>35.49</v>
      </c>
      <c r="AA146" s="2">
        <v>32.369999999999997</v>
      </c>
      <c r="AB146" s="2">
        <v>40.54</v>
      </c>
      <c r="AC146" s="2">
        <v>6.12</v>
      </c>
      <c r="AD146" s="2">
        <v>8.09</v>
      </c>
      <c r="AE146" s="2">
        <v>40.869999999999997</v>
      </c>
      <c r="AF146" s="2">
        <v>49</v>
      </c>
      <c r="AG146" s="2">
        <v>58.2</v>
      </c>
      <c r="AH146" s="2">
        <v>-9.1999999999999993</v>
      </c>
      <c r="AI146" s="2">
        <v>54.43</v>
      </c>
      <c r="AJ146" s="2">
        <v>11.55</v>
      </c>
      <c r="AK146" s="2">
        <v>1.119</v>
      </c>
      <c r="AL146" s="2">
        <v>0.499</v>
      </c>
      <c r="AM146" s="2">
        <v>0.72099999999999997</v>
      </c>
      <c r="AN146" s="2">
        <v>0.44600000000000001</v>
      </c>
      <c r="AO146" s="2">
        <v>0.55900000000000005</v>
      </c>
      <c r="AP146" s="2">
        <v>0.22800000000000001</v>
      </c>
      <c r="AQ146" s="2">
        <v>1.4550000000000001</v>
      </c>
      <c r="AR146" s="2">
        <v>0.36099999999999999</v>
      </c>
      <c r="AS146" s="2">
        <v>5.78</v>
      </c>
      <c r="AT146" s="2">
        <v>349.4</v>
      </c>
      <c r="AU146" s="2">
        <v>1.5649999999999999</v>
      </c>
      <c r="AV146" s="2">
        <v>0.16</v>
      </c>
      <c r="AW146" s="2">
        <v>8.4000000000000005E-2</v>
      </c>
      <c r="AX146" s="2">
        <v>0.16900000000000001</v>
      </c>
      <c r="AY146" s="2">
        <v>0.747</v>
      </c>
      <c r="AZ146" s="2">
        <v>0.36</v>
      </c>
      <c r="BA146" s="2">
        <v>1.39</v>
      </c>
      <c r="BB146" s="2">
        <v>3.9</v>
      </c>
      <c r="BC146" s="2">
        <v>82</v>
      </c>
      <c r="BD146" s="2">
        <v>0.7</v>
      </c>
      <c r="BE146" s="2">
        <v>5.9</v>
      </c>
      <c r="BF146" s="2">
        <v>48</v>
      </c>
      <c r="BG146" s="2">
        <v>87</v>
      </c>
      <c r="BH146" s="2">
        <v>499</v>
      </c>
      <c r="BI146" s="2">
        <v>57</v>
      </c>
      <c r="BJ146" s="2">
        <v>8</v>
      </c>
      <c r="BK146" s="2">
        <v>10.6</v>
      </c>
      <c r="BL146" s="2">
        <v>0.9</v>
      </c>
      <c r="BM146" s="2">
        <v>1.2</v>
      </c>
      <c r="BN146" s="2">
        <v>0</v>
      </c>
      <c r="BO146" s="2">
        <v>0.22</v>
      </c>
      <c r="BP146" s="2">
        <v>2.5</v>
      </c>
      <c r="BQ146" s="2">
        <v>0.47</v>
      </c>
    </row>
    <row r="147" spans="1:69" x14ac:dyDescent="0.2">
      <c r="A147">
        <v>20</v>
      </c>
      <c r="B147">
        <v>80</v>
      </c>
      <c r="C147" t="s">
        <v>9</v>
      </c>
      <c r="D147" t="s">
        <v>5</v>
      </c>
      <c r="E147">
        <v>4</v>
      </c>
      <c r="F147" s="2">
        <v>133.4275395033859</v>
      </c>
      <c r="G147" s="2">
        <v>179.49799426934098</v>
      </c>
      <c r="H147" s="2">
        <v>667.13769751693007</v>
      </c>
      <c r="I147" s="2">
        <v>609.42464183381094</v>
      </c>
      <c r="J147" s="2">
        <v>800.56523702031598</v>
      </c>
      <c r="K147" s="2">
        <v>788.92263610315194</v>
      </c>
      <c r="L147" s="2">
        <v>46.070454765955077</v>
      </c>
      <c r="M147" s="2">
        <v>-11.642600917164032</v>
      </c>
      <c r="N147" s="2">
        <v>2.2071999999999998</v>
      </c>
      <c r="O147" s="2">
        <v>57.542000000000002</v>
      </c>
      <c r="P147" s="2">
        <v>0.87180000000000002</v>
      </c>
      <c r="Q147" s="2">
        <v>0.55020000000000002</v>
      </c>
      <c r="R147" s="2">
        <v>3.0554000000000006</v>
      </c>
      <c r="S147" s="2">
        <v>19.338999999999999</v>
      </c>
      <c r="T147" s="2">
        <v>47.881999999999998</v>
      </c>
      <c r="U147" s="2">
        <v>38.156199999999998</v>
      </c>
      <c r="V147" s="2">
        <v>21.000799999999998</v>
      </c>
      <c r="W147" s="2">
        <v>28.221399999999996</v>
      </c>
      <c r="X147" s="2">
        <v>20.210799999999999</v>
      </c>
      <c r="Y147" s="2">
        <v>78.55</v>
      </c>
      <c r="Z147" s="2">
        <v>25.48</v>
      </c>
      <c r="AA147" s="2">
        <v>25.88</v>
      </c>
      <c r="AB147" s="2">
        <v>20.02</v>
      </c>
      <c r="AC147" s="2">
        <v>6.65</v>
      </c>
      <c r="AD147" s="2">
        <v>24.89</v>
      </c>
      <c r="AE147" s="2">
        <v>27.95</v>
      </c>
      <c r="AF147" s="2">
        <v>52.8</v>
      </c>
      <c r="AG147" s="2">
        <v>39.799999999999997</v>
      </c>
      <c r="AH147" s="2">
        <v>13.1</v>
      </c>
      <c r="AI147" s="2">
        <v>20.52</v>
      </c>
      <c r="AJ147" s="2">
        <v>5.19</v>
      </c>
      <c r="AK147" s="2">
        <v>1.18</v>
      </c>
      <c r="AL147" s="2">
        <v>1.175</v>
      </c>
      <c r="AM147" s="2">
        <v>1.0289999999999999</v>
      </c>
      <c r="AN147" s="2">
        <v>0.996</v>
      </c>
      <c r="AO147" s="2">
        <v>1.3859999999999999</v>
      </c>
      <c r="AP147" s="2">
        <v>0.97699999999999998</v>
      </c>
      <c r="AQ147" s="2">
        <v>0.99399999999999999</v>
      </c>
      <c r="AR147" s="2">
        <v>1.8580000000000001</v>
      </c>
      <c r="AS147" s="2">
        <v>49.17</v>
      </c>
      <c r="AT147" s="2">
        <v>304.60000000000002</v>
      </c>
      <c r="AU147" s="2">
        <v>0.90900000000000003</v>
      </c>
      <c r="AV147" s="2">
        <v>0.57999999999999996</v>
      </c>
      <c r="AW147" s="2">
        <v>0.13100000000000001</v>
      </c>
      <c r="AX147" s="2">
        <v>0.26100000000000001</v>
      </c>
      <c r="AY147" s="2">
        <v>0.60799999999999998</v>
      </c>
      <c r="AZ147" s="2">
        <v>2.15</v>
      </c>
      <c r="BA147" s="2">
        <v>0.85</v>
      </c>
      <c r="BB147" s="2">
        <v>6.3</v>
      </c>
      <c r="BC147" s="2">
        <v>18</v>
      </c>
      <c r="BD147" s="2">
        <v>5.0999999999999996</v>
      </c>
      <c r="BE147" s="2">
        <v>3.9</v>
      </c>
      <c r="BF147" s="2">
        <v>25</v>
      </c>
      <c r="BG147" s="2">
        <v>41</v>
      </c>
      <c r="BH147" s="2">
        <v>124</v>
      </c>
      <c r="BI147" s="2">
        <v>51</v>
      </c>
      <c r="BJ147" s="2">
        <v>23</v>
      </c>
      <c r="BK147" s="2">
        <v>0.9</v>
      </c>
      <c r="BL147" s="2">
        <v>1.3</v>
      </c>
      <c r="BM147" s="2">
        <v>0.5</v>
      </c>
      <c r="BN147" s="2">
        <v>0</v>
      </c>
      <c r="BO147" s="2">
        <v>0.1</v>
      </c>
      <c r="BP147" s="2">
        <v>0.62</v>
      </c>
      <c r="BQ147" s="2">
        <v>0.42</v>
      </c>
    </row>
    <row r="148" spans="1:69" x14ac:dyDescent="0.2">
      <c r="A148">
        <v>20</v>
      </c>
      <c r="B148">
        <v>97</v>
      </c>
      <c r="C148" t="s">
        <v>9</v>
      </c>
      <c r="D148" t="s">
        <v>0</v>
      </c>
      <c r="E148">
        <v>1</v>
      </c>
      <c r="F148" s="2">
        <v>389.19976865240022</v>
      </c>
      <c r="G148" s="2">
        <v>364.51957356076753</v>
      </c>
      <c r="H148" s="2">
        <v>697.75454019664562</v>
      </c>
      <c r="I148" s="2">
        <v>577.80230277185512</v>
      </c>
      <c r="J148" s="2">
        <v>1086.9543088490459</v>
      </c>
      <c r="K148" s="2">
        <v>942.32187633262265</v>
      </c>
      <c r="L148" s="2">
        <v>-24.680195091632697</v>
      </c>
      <c r="M148" s="2">
        <v>-144.63243251642325</v>
      </c>
      <c r="N148" s="2">
        <v>2.3402000000000003</v>
      </c>
      <c r="O148" s="2">
        <v>35.403999999999996</v>
      </c>
      <c r="P148" s="2">
        <v>0.63300000000000001</v>
      </c>
      <c r="Q148" s="2">
        <v>3.9354</v>
      </c>
      <c r="R148" s="2">
        <v>7.9105999999999996</v>
      </c>
      <c r="S148" s="2">
        <v>16.63</v>
      </c>
      <c r="T148" s="2">
        <v>63.447199999999995</v>
      </c>
      <c r="U148" s="2">
        <v>63.646599999999992</v>
      </c>
      <c r="V148" s="2">
        <v>54.294199999999996</v>
      </c>
      <c r="W148" s="2">
        <v>50.119599999999998</v>
      </c>
      <c r="X148" s="2">
        <v>17.262999999999998</v>
      </c>
      <c r="Y148" s="2">
        <v>88.14</v>
      </c>
      <c r="Z148" s="2">
        <v>24.46</v>
      </c>
      <c r="AA148" s="2">
        <v>29.25</v>
      </c>
      <c r="AB148" s="2">
        <v>26.65</v>
      </c>
      <c r="AC148" s="2">
        <v>7.37</v>
      </c>
      <c r="AD148" s="2">
        <v>24.1</v>
      </c>
      <c r="AE148" s="2">
        <v>32.54</v>
      </c>
      <c r="AF148" s="2">
        <v>56.6</v>
      </c>
      <c r="AG148" s="2">
        <v>44.6</v>
      </c>
      <c r="AH148" s="2">
        <v>12</v>
      </c>
      <c r="AI148" s="2">
        <v>25.43</v>
      </c>
      <c r="AJ148" s="2">
        <v>6.07</v>
      </c>
      <c r="AK148" s="2">
        <v>1.054</v>
      </c>
      <c r="AL148" s="2">
        <v>1.0629999999999999</v>
      </c>
      <c r="AM148" s="2">
        <v>1.0549999999999999</v>
      </c>
      <c r="AN148" s="2">
        <v>1.0089999999999999</v>
      </c>
      <c r="AO148" s="2">
        <v>1.119</v>
      </c>
      <c r="AP148" s="2">
        <v>0.98499999999999999</v>
      </c>
      <c r="AQ148" s="2">
        <v>1.1160000000000001</v>
      </c>
      <c r="AR148" s="2">
        <v>2.4279999999999999</v>
      </c>
      <c r="AS148" s="2">
        <v>37.630000000000003</v>
      </c>
      <c r="AT148" s="2">
        <v>343</v>
      </c>
      <c r="AU148" s="2">
        <v>1.115</v>
      </c>
      <c r="AV148" s="2">
        <v>2.13</v>
      </c>
      <c r="AW148" s="2">
        <v>7.5999999999999998E-2</v>
      </c>
      <c r="AX148" s="2">
        <v>0.24399999999999999</v>
      </c>
      <c r="AY148" s="2">
        <v>0.68</v>
      </c>
      <c r="AZ148" s="2">
        <v>0.81</v>
      </c>
      <c r="BA148" s="2">
        <v>1.01</v>
      </c>
      <c r="BB148" s="2">
        <v>8.1</v>
      </c>
      <c r="BC148" s="2">
        <v>86</v>
      </c>
      <c r="BD148" s="2">
        <v>1.2</v>
      </c>
      <c r="BE148" s="2">
        <v>6.1</v>
      </c>
      <c r="BF148" s="2">
        <v>32</v>
      </c>
      <c r="BG148" s="2">
        <v>73</v>
      </c>
      <c r="BH148" s="2">
        <v>935</v>
      </c>
      <c r="BI148" s="2">
        <v>251</v>
      </c>
      <c r="BJ148" s="2">
        <v>12</v>
      </c>
      <c r="BK148" s="2">
        <v>13.3</v>
      </c>
      <c r="BL148" s="2">
        <v>9.8000000000000007</v>
      </c>
      <c r="BM148" s="2">
        <v>1.2</v>
      </c>
      <c r="BN148" s="2">
        <v>0</v>
      </c>
      <c r="BO148" s="2">
        <v>0.19</v>
      </c>
      <c r="BP148" s="2">
        <v>4.68</v>
      </c>
      <c r="BQ148" s="2">
        <v>2.06</v>
      </c>
    </row>
    <row r="149" spans="1:69" x14ac:dyDescent="0.2">
      <c r="A149">
        <v>20</v>
      </c>
      <c r="B149">
        <v>173</v>
      </c>
      <c r="C149" t="s">
        <v>9</v>
      </c>
      <c r="D149" t="s">
        <v>5</v>
      </c>
      <c r="E149">
        <v>1</v>
      </c>
      <c r="F149" s="2">
        <v>168.83831337844876</v>
      </c>
      <c r="G149" s="2">
        <v>175.0083897158321</v>
      </c>
      <c r="H149" s="2">
        <v>522.29422175950026</v>
      </c>
      <c r="I149" s="2">
        <v>598.8568335588634</v>
      </c>
      <c r="J149" s="2">
        <v>691.13253513794905</v>
      </c>
      <c r="K149" s="2">
        <v>773.8652232746955</v>
      </c>
      <c r="L149" s="2">
        <v>6.1700763373833354</v>
      </c>
      <c r="M149" s="2">
        <v>82.732688136746447</v>
      </c>
      <c r="N149" s="2">
        <v>1.8532000000000002</v>
      </c>
      <c r="O149" s="2">
        <v>49.003</v>
      </c>
      <c r="P149" s="2">
        <v>0.78787061994609164</v>
      </c>
      <c r="Q149" s="2">
        <v>0.85259999999999991</v>
      </c>
      <c r="R149" s="2">
        <v>4.2938000000000001</v>
      </c>
      <c r="S149" s="2">
        <v>19.456603773584906</v>
      </c>
      <c r="T149" s="2">
        <v>37.22</v>
      </c>
      <c r="U149" s="2">
        <v>30.155799999999999</v>
      </c>
      <c r="V149" s="2">
        <v>14.205125606469</v>
      </c>
      <c r="W149" s="2">
        <v>17.828125606469005</v>
      </c>
      <c r="X149" s="2">
        <v>20.244474393530997</v>
      </c>
      <c r="Y149" s="2">
        <v>89.11</v>
      </c>
      <c r="Z149" s="2">
        <v>22.9</v>
      </c>
      <c r="AA149" s="2">
        <v>28.15</v>
      </c>
      <c r="AB149" s="2">
        <v>31.73</v>
      </c>
      <c r="AC149" s="2">
        <v>5.92</v>
      </c>
      <c r="AD149" s="2">
        <v>17.850000000000001</v>
      </c>
      <c r="AE149" s="2">
        <v>32.4</v>
      </c>
      <c r="AF149" s="2">
        <v>50.3</v>
      </c>
      <c r="AG149" s="2">
        <v>45.1</v>
      </c>
      <c r="AH149" s="2">
        <v>5.0999999999999996</v>
      </c>
      <c r="AI149" s="2">
        <v>30.18</v>
      </c>
      <c r="AJ149" s="2">
        <v>8.68</v>
      </c>
      <c r="AK149" s="2">
        <v>0.99199999999999999</v>
      </c>
      <c r="AL149" s="2">
        <v>0.85699999999999998</v>
      </c>
      <c r="AM149" s="2">
        <v>0.98399999999999999</v>
      </c>
      <c r="AN149" s="2">
        <v>0.86399999999999999</v>
      </c>
      <c r="AO149" s="2">
        <v>0.85099999999999998</v>
      </c>
      <c r="AP149" s="2">
        <v>0.77900000000000003</v>
      </c>
      <c r="AQ149" s="2">
        <v>1.1279999999999999</v>
      </c>
      <c r="AR149" s="2">
        <v>1.462</v>
      </c>
      <c r="AS149" s="2">
        <v>43.24</v>
      </c>
      <c r="AT149" s="2">
        <v>238.9</v>
      </c>
      <c r="AU149" s="2">
        <v>1.0129999999999999</v>
      </c>
      <c r="AV149" s="2">
        <v>0.72</v>
      </c>
      <c r="AW149" s="2">
        <v>0.1</v>
      </c>
      <c r="AX149" s="2">
        <v>0.27900000000000003</v>
      </c>
      <c r="AY149" s="2">
        <v>0.621</v>
      </c>
      <c r="AZ149" s="2">
        <v>2.92</v>
      </c>
      <c r="BA149" s="2">
        <v>0.99</v>
      </c>
      <c r="BB149" s="2">
        <v>7.2</v>
      </c>
      <c r="BC149" s="2">
        <v>14</v>
      </c>
      <c r="BD149" s="2">
        <v>6.2</v>
      </c>
      <c r="BE149" s="2">
        <v>3.8</v>
      </c>
      <c r="BF149" s="2">
        <v>12</v>
      </c>
      <c r="BG149" s="2">
        <v>34</v>
      </c>
      <c r="BH149" s="2">
        <v>89</v>
      </c>
      <c r="BI149" s="2">
        <v>53</v>
      </c>
      <c r="BJ149" s="2">
        <v>19</v>
      </c>
      <c r="BK149" s="2">
        <v>0.7</v>
      </c>
      <c r="BL149" s="2">
        <v>1.5</v>
      </c>
      <c r="BM149" s="2">
        <v>0.6</v>
      </c>
      <c r="BN149" s="2">
        <v>0</v>
      </c>
      <c r="BO149" s="2">
        <v>0.09</v>
      </c>
      <c r="BP149" s="2">
        <v>0.45</v>
      </c>
      <c r="BQ149" s="2">
        <v>0.44</v>
      </c>
    </row>
    <row r="150" spans="1:69" x14ac:dyDescent="0.2">
      <c r="A150">
        <v>20</v>
      </c>
      <c r="B150">
        <v>233</v>
      </c>
      <c r="C150" t="s">
        <v>9</v>
      </c>
      <c r="D150" t="s">
        <v>0</v>
      </c>
      <c r="E150">
        <v>4</v>
      </c>
      <c r="F150" s="2">
        <v>380.9460972017672</v>
      </c>
      <c r="G150" s="2">
        <v>524.20438871473345</v>
      </c>
      <c r="H150" s="2">
        <v>715.76200294550802</v>
      </c>
      <c r="I150" s="2">
        <v>978.72601880877733</v>
      </c>
      <c r="J150" s="2">
        <v>1096.7081001472752</v>
      </c>
      <c r="K150" s="2">
        <v>1502.9304075235109</v>
      </c>
      <c r="L150" s="2">
        <v>143.25829151296625</v>
      </c>
      <c r="M150" s="2">
        <v>406.22230737623568</v>
      </c>
      <c r="N150" s="2">
        <v>3.7113</v>
      </c>
      <c r="O150" s="2">
        <v>46.563000000000002</v>
      </c>
      <c r="P150" s="2">
        <v>0.33339999999999997</v>
      </c>
      <c r="Q150" s="2">
        <v>4.8986000000000001</v>
      </c>
      <c r="R150" s="2">
        <v>5.0222000000000007</v>
      </c>
      <c r="S150" s="2">
        <v>44.647599999999997</v>
      </c>
      <c r="T150" s="2">
        <v>128.4178</v>
      </c>
      <c r="U150" s="2">
        <v>175.42420000000001</v>
      </c>
      <c r="V150" s="2">
        <v>135.46540000000002</v>
      </c>
      <c r="W150" s="2">
        <v>88.335399999999993</v>
      </c>
      <c r="X150" s="2">
        <v>44.980999999999995</v>
      </c>
      <c r="Y150" s="2">
        <v>80.89</v>
      </c>
      <c r="Z150" s="2">
        <v>36.67</v>
      </c>
      <c r="AA150" s="2">
        <v>26.23</v>
      </c>
      <c r="AB150" s="2">
        <v>13.63</v>
      </c>
      <c r="AC150" s="2">
        <v>3.98</v>
      </c>
      <c r="AD150" s="2">
        <v>29.08</v>
      </c>
      <c r="AE150" s="2">
        <v>33.31</v>
      </c>
      <c r="AF150" s="2">
        <v>62.4</v>
      </c>
      <c r="AG150" s="2">
        <v>41</v>
      </c>
      <c r="AH150" s="2">
        <v>21.4</v>
      </c>
      <c r="AI150" s="2">
        <v>13.95</v>
      </c>
      <c r="AJ150" s="2">
        <v>4.55</v>
      </c>
      <c r="AK150" s="2">
        <v>1.5329999999999999</v>
      </c>
      <c r="AL150" s="2">
        <v>1.319</v>
      </c>
      <c r="AM150" s="2">
        <v>0.99199999999999999</v>
      </c>
      <c r="AN150" s="2">
        <v>0.86</v>
      </c>
      <c r="AO150" s="2">
        <v>2.0209999999999999</v>
      </c>
      <c r="AP150" s="2">
        <v>0.79300000000000004</v>
      </c>
      <c r="AQ150" s="2">
        <v>1.024</v>
      </c>
      <c r="AR150" s="2">
        <v>2.883</v>
      </c>
      <c r="AS150" s="2">
        <v>40.56</v>
      </c>
      <c r="AT150" s="2">
        <v>477</v>
      </c>
      <c r="AU150" s="2">
        <v>1.109</v>
      </c>
      <c r="AV150" s="2">
        <v>0.46</v>
      </c>
      <c r="AW150" s="2">
        <v>0.17199999999999999</v>
      </c>
      <c r="AX150" s="2">
        <v>0.33</v>
      </c>
      <c r="AY150" s="2">
        <v>0.498</v>
      </c>
      <c r="AZ150" s="2">
        <v>1.74</v>
      </c>
      <c r="BA150" s="2">
        <v>0.83</v>
      </c>
      <c r="BB150" s="2">
        <v>7.3</v>
      </c>
      <c r="BC150" s="2">
        <v>64</v>
      </c>
      <c r="BD150" s="2">
        <v>2.6</v>
      </c>
      <c r="BE150" s="2">
        <v>5</v>
      </c>
      <c r="BF150" s="2">
        <v>67</v>
      </c>
      <c r="BG150" s="2">
        <v>70</v>
      </c>
      <c r="BH150" s="2">
        <v>754</v>
      </c>
      <c r="BI150" s="2">
        <v>92</v>
      </c>
      <c r="BJ150" s="2">
        <v>24</v>
      </c>
      <c r="BK150" s="2">
        <v>14</v>
      </c>
      <c r="BL150" s="2">
        <v>10.3</v>
      </c>
      <c r="BM150" s="2">
        <v>3.7</v>
      </c>
      <c r="BN150" s="2">
        <v>0</v>
      </c>
      <c r="BO150" s="2">
        <v>0.18</v>
      </c>
      <c r="BP150" s="2">
        <v>3.77</v>
      </c>
      <c r="BQ150" s="2">
        <v>0.76</v>
      </c>
    </row>
    <row r="151" spans="1:69" x14ac:dyDescent="0.2">
      <c r="A151">
        <v>20</v>
      </c>
      <c r="B151">
        <v>236</v>
      </c>
      <c r="C151" t="s">
        <v>9</v>
      </c>
      <c r="D151" t="s">
        <v>0</v>
      </c>
      <c r="E151">
        <v>2</v>
      </c>
      <c r="F151" s="2">
        <v>374.88854667949937</v>
      </c>
      <c r="G151" s="2">
        <v>545.5590225563908</v>
      </c>
      <c r="H151" s="2">
        <v>577.6492781520692</v>
      </c>
      <c r="I151" s="2">
        <v>779.16654135338342</v>
      </c>
      <c r="J151" s="2">
        <v>952.53782483156851</v>
      </c>
      <c r="K151" s="2">
        <v>1324.7255639097743</v>
      </c>
      <c r="L151" s="2">
        <v>170.67047587689143</v>
      </c>
      <c r="M151" s="2">
        <v>372.18773907820582</v>
      </c>
      <c r="N151" s="2">
        <v>2.8638000000000003</v>
      </c>
      <c r="O151" s="2">
        <v>40.89</v>
      </c>
      <c r="P151" s="2">
        <v>0.6853488372093024</v>
      </c>
      <c r="Q151" s="2">
        <v>6.3806000000000003</v>
      </c>
      <c r="R151" s="2">
        <v>4.9298000000000002</v>
      </c>
      <c r="S151" s="2">
        <v>30.031162790697675</v>
      </c>
      <c r="T151" s="2">
        <v>98.772999999999996</v>
      </c>
      <c r="U151" s="2">
        <v>120.50739999999999</v>
      </c>
      <c r="V151" s="2">
        <v>94.720688372093008</v>
      </c>
      <c r="W151" s="2">
        <v>74.437088372093015</v>
      </c>
      <c r="X151" s="2">
        <v>30.716511627906979</v>
      </c>
      <c r="Y151" s="2">
        <v>88.72</v>
      </c>
      <c r="Z151" s="2">
        <v>23.93</v>
      </c>
      <c r="AA151" s="2">
        <v>25.65</v>
      </c>
      <c r="AB151" s="2">
        <v>30.81</v>
      </c>
      <c r="AC151" s="2">
        <v>7.87</v>
      </c>
      <c r="AD151" s="2">
        <v>22.43</v>
      </c>
      <c r="AE151" s="2">
        <v>29.65</v>
      </c>
      <c r="AF151" s="2">
        <v>52.1</v>
      </c>
      <c r="AG151" s="2">
        <v>44.9</v>
      </c>
      <c r="AH151" s="2">
        <v>7.2</v>
      </c>
      <c r="AI151" s="2">
        <v>30.22</v>
      </c>
      <c r="AJ151" s="2">
        <v>6.42</v>
      </c>
      <c r="AK151" s="2">
        <v>1.0109999999999999</v>
      </c>
      <c r="AL151" s="2">
        <v>0.99</v>
      </c>
      <c r="AM151" s="2">
        <v>1.05</v>
      </c>
      <c r="AN151" s="2">
        <v>0.97799999999999998</v>
      </c>
      <c r="AO151" s="2">
        <v>1.0009999999999999</v>
      </c>
      <c r="AP151" s="2">
        <v>0.93700000000000006</v>
      </c>
      <c r="AQ151" s="2">
        <v>1.123</v>
      </c>
      <c r="AR151" s="2">
        <v>2.3039999999999998</v>
      </c>
      <c r="AS151" s="2">
        <v>34.47</v>
      </c>
      <c r="AT151" s="2">
        <v>352.1</v>
      </c>
      <c r="AU151" s="2">
        <v>1.1619999999999999</v>
      </c>
      <c r="AV151" s="2">
        <v>0.21</v>
      </c>
      <c r="AW151" s="2">
        <v>7.3999999999999996E-2</v>
      </c>
      <c r="AX151" s="2">
        <v>0.25700000000000001</v>
      </c>
      <c r="AY151" s="2">
        <v>0.66900000000000004</v>
      </c>
      <c r="AZ151" s="2">
        <v>1.25</v>
      </c>
      <c r="BA151" s="2">
        <v>1.05</v>
      </c>
      <c r="BB151" s="2">
        <v>8.4</v>
      </c>
      <c r="BC151" s="2">
        <v>72</v>
      </c>
      <c r="BD151" s="2">
        <v>2.2999999999999998</v>
      </c>
      <c r="BE151" s="2">
        <v>5.4</v>
      </c>
      <c r="BF151" s="2">
        <v>50</v>
      </c>
      <c r="BG151" s="2">
        <v>113</v>
      </c>
      <c r="BH151" s="2">
        <v>817</v>
      </c>
      <c r="BI151" s="2">
        <v>202</v>
      </c>
      <c r="BJ151" s="2">
        <v>20</v>
      </c>
      <c r="BK151" s="2">
        <v>13.4</v>
      </c>
      <c r="BL151" s="2">
        <v>2.8</v>
      </c>
      <c r="BM151" s="2">
        <v>0.8</v>
      </c>
      <c r="BN151" s="2">
        <v>0</v>
      </c>
      <c r="BO151" s="2">
        <v>0.28999999999999998</v>
      </c>
      <c r="BP151" s="2">
        <v>4.09</v>
      </c>
      <c r="BQ151" s="2">
        <v>1.66</v>
      </c>
    </row>
    <row r="152" spans="1:69" x14ac:dyDescent="0.2">
      <c r="A152">
        <v>20</v>
      </c>
      <c r="B152">
        <v>269</v>
      </c>
      <c r="C152" t="s">
        <v>9</v>
      </c>
      <c r="D152" t="s">
        <v>5</v>
      </c>
      <c r="E152">
        <v>2</v>
      </c>
      <c r="F152" s="2">
        <v>151.95640802092396</v>
      </c>
      <c r="G152" s="2">
        <v>231.90885654885651</v>
      </c>
      <c r="H152" s="2">
        <v>405.65754141238011</v>
      </c>
      <c r="I152" s="2">
        <v>830.58661122661124</v>
      </c>
      <c r="J152" s="2">
        <v>557.61394943330401</v>
      </c>
      <c r="K152" s="2">
        <v>1062.4954677754677</v>
      </c>
      <c r="L152" s="2">
        <v>79.952448527932546</v>
      </c>
      <c r="M152" s="2">
        <v>504.88151834216364</v>
      </c>
      <c r="N152" s="2">
        <v>1.4646000000000001</v>
      </c>
      <c r="O152" s="2">
        <v>29.241</v>
      </c>
      <c r="P152" s="2">
        <v>0.65080000000000005</v>
      </c>
      <c r="Q152" s="2">
        <v>3.9409999999999998</v>
      </c>
      <c r="R152" s="2">
        <v>3.0866000000000007</v>
      </c>
      <c r="S152" s="2">
        <v>21.269600000000001</v>
      </c>
      <c r="T152" s="2">
        <v>45.7498</v>
      </c>
      <c r="U152" s="2">
        <v>51.750999999999998</v>
      </c>
      <c r="V152" s="2">
        <v>32.917199999999994</v>
      </c>
      <c r="W152" s="2">
        <v>27.770400000000002</v>
      </c>
      <c r="X152" s="2">
        <v>21.920400000000001</v>
      </c>
      <c r="Y152" s="2">
        <v>94.67</v>
      </c>
      <c r="Z152" s="2">
        <v>28.16</v>
      </c>
      <c r="AA152" s="2">
        <v>34.17</v>
      </c>
      <c r="AB152" s="2">
        <v>27.22</v>
      </c>
      <c r="AC152" s="2">
        <v>4.63</v>
      </c>
      <c r="AD152" s="2">
        <v>25.27</v>
      </c>
      <c r="AE152" s="2">
        <v>41.71</v>
      </c>
      <c r="AF152" s="2">
        <v>67</v>
      </c>
      <c r="AG152" s="2">
        <v>47.9</v>
      </c>
      <c r="AH152" s="2">
        <v>19</v>
      </c>
      <c r="AI152" s="2">
        <v>23.28</v>
      </c>
      <c r="AJ152" s="2">
        <v>4.41</v>
      </c>
      <c r="AK152" s="2">
        <v>1.1259999999999999</v>
      </c>
      <c r="AL152" s="2">
        <v>1.081</v>
      </c>
      <c r="AM152" s="2">
        <v>1.075</v>
      </c>
      <c r="AN152" s="2">
        <v>0.96099999999999997</v>
      </c>
      <c r="AO152" s="2">
        <v>1.218</v>
      </c>
      <c r="AP152" s="2">
        <v>0.89700000000000002</v>
      </c>
      <c r="AQ152" s="2">
        <v>1.198</v>
      </c>
      <c r="AR152" s="2">
        <v>1.2430000000000001</v>
      </c>
      <c r="AS152" s="2">
        <v>25.55</v>
      </c>
      <c r="AT152" s="2">
        <v>248.9</v>
      </c>
      <c r="AU152" s="2">
        <v>1.212</v>
      </c>
      <c r="AV152" s="2">
        <v>0.71</v>
      </c>
      <c r="AW152" s="2">
        <v>0.108</v>
      </c>
      <c r="AX152" s="2">
        <v>0.17699999999999999</v>
      </c>
      <c r="AY152" s="2">
        <v>0.71499999999999997</v>
      </c>
      <c r="AZ152" s="2">
        <v>0.66</v>
      </c>
      <c r="BA152" s="2">
        <v>1.05</v>
      </c>
      <c r="BB152" s="2">
        <v>6</v>
      </c>
      <c r="BC152" s="2">
        <v>32</v>
      </c>
      <c r="BD152" s="2">
        <v>4</v>
      </c>
      <c r="BE152" s="2">
        <v>4.2</v>
      </c>
      <c r="BF152" s="2">
        <v>18</v>
      </c>
      <c r="BG152" s="2">
        <v>37</v>
      </c>
      <c r="BH152" s="2">
        <v>275</v>
      </c>
      <c r="BI152" s="2">
        <v>57</v>
      </c>
      <c r="BJ152" s="2">
        <v>19</v>
      </c>
      <c r="BK152" s="2">
        <v>2.6</v>
      </c>
      <c r="BL152" s="2">
        <v>3.8</v>
      </c>
      <c r="BM152" s="2">
        <v>0.9</v>
      </c>
      <c r="BN152" s="2">
        <v>0</v>
      </c>
      <c r="BO152" s="2">
        <v>0.09</v>
      </c>
      <c r="BP152" s="2">
        <v>1.38</v>
      </c>
      <c r="BQ152" s="2">
        <v>0.47</v>
      </c>
    </row>
    <row r="153" spans="1:69" x14ac:dyDescent="0.2">
      <c r="A153">
        <v>10</v>
      </c>
      <c r="B153">
        <v>302</v>
      </c>
      <c r="C153" t="s">
        <v>9</v>
      </c>
      <c r="D153" t="s">
        <v>7</v>
      </c>
      <c r="E153">
        <v>2</v>
      </c>
      <c r="F153" s="2">
        <v>116.46539079620118</v>
      </c>
      <c r="G153" s="2">
        <v>108.24394881169989</v>
      </c>
      <c r="H153" s="2">
        <v>405.19327976625277</v>
      </c>
      <c r="I153" s="2">
        <v>144.07897623400353</v>
      </c>
      <c r="J153" s="2">
        <v>521.65867056245395</v>
      </c>
      <c r="K153" s="2">
        <v>252.32292504570341</v>
      </c>
      <c r="L153" s="2">
        <v>-8.2214419845012827</v>
      </c>
      <c r="M153" s="2">
        <v>-269.33574551675053</v>
      </c>
      <c r="N153" s="2">
        <v>0.4501</v>
      </c>
      <c r="O153" s="2">
        <v>7.7975000000000003</v>
      </c>
      <c r="P153" s="2">
        <v>0.31840000000000002</v>
      </c>
      <c r="Q153" s="2">
        <v>3.2817182817182817</v>
      </c>
      <c r="R153" s="2">
        <v>1.0939060939060941</v>
      </c>
      <c r="S153" s="2">
        <v>9.7553999999999998</v>
      </c>
      <c r="T153" s="2">
        <v>20.119080919080922</v>
      </c>
      <c r="U153" s="2">
        <v>19.248751248751251</v>
      </c>
      <c r="V153" s="2">
        <v>10.268857342657347</v>
      </c>
      <c r="W153" s="2">
        <v>13.326999200799202</v>
      </c>
      <c r="X153" s="2">
        <v>10.0738</v>
      </c>
      <c r="Y153" s="2">
        <v>116.24</v>
      </c>
      <c r="Z153" s="2">
        <v>17.190000000000001</v>
      </c>
      <c r="AA153" s="2">
        <v>41.97</v>
      </c>
      <c r="AB153" s="2">
        <v>46.67</v>
      </c>
      <c r="AC153" s="2">
        <v>9.93</v>
      </c>
      <c r="AD153" s="2">
        <v>10.11</v>
      </c>
      <c r="AE153" s="2">
        <v>47.82</v>
      </c>
      <c r="AF153" s="2">
        <v>57.9</v>
      </c>
      <c r="AG153" s="2">
        <v>58.9</v>
      </c>
      <c r="AH153" s="2">
        <v>-0.9</v>
      </c>
      <c r="AI153" s="2">
        <v>48.32</v>
      </c>
      <c r="AJ153" s="2">
        <v>9.99</v>
      </c>
      <c r="AK153" s="2">
        <v>0.71399999999999997</v>
      </c>
      <c r="AL153" s="2">
        <v>0.57299999999999995</v>
      </c>
      <c r="AM153" s="2">
        <v>0.97899999999999998</v>
      </c>
      <c r="AN153" s="2">
        <v>0.80200000000000005</v>
      </c>
      <c r="AO153" s="2">
        <v>0.40899999999999997</v>
      </c>
      <c r="AP153" s="2">
        <v>0.58799999999999997</v>
      </c>
      <c r="AQ153" s="2">
        <v>1.4710000000000001</v>
      </c>
      <c r="AR153" s="2">
        <v>0.54500000000000004</v>
      </c>
      <c r="AS153" s="2">
        <v>9.7899999999999991</v>
      </c>
      <c r="AT153" s="2">
        <v>105.2</v>
      </c>
      <c r="AU153" s="2">
        <v>1.552</v>
      </c>
      <c r="AV153" s="2">
        <v>0.01</v>
      </c>
      <c r="AW153" s="2">
        <v>6.2E-2</v>
      </c>
      <c r="AX153" s="2">
        <v>0.17399999999999999</v>
      </c>
      <c r="AY153" s="2">
        <v>0.76400000000000001</v>
      </c>
      <c r="AZ153" s="2">
        <v>0.71</v>
      </c>
      <c r="BA153" s="2">
        <v>1.38</v>
      </c>
      <c r="BB153" s="2">
        <v>4.8</v>
      </c>
      <c r="BC153" s="2">
        <v>83</v>
      </c>
      <c r="BD153" s="2">
        <v>0.8</v>
      </c>
      <c r="BE153" s="2">
        <v>6.1</v>
      </c>
      <c r="BF153" s="2">
        <v>68</v>
      </c>
      <c r="BG153" s="2">
        <v>80</v>
      </c>
      <c r="BH153" s="2">
        <v>616</v>
      </c>
      <c r="BI153" s="2">
        <v>83</v>
      </c>
      <c r="BJ153" s="2">
        <v>9</v>
      </c>
      <c r="BK153" s="2">
        <v>12.7</v>
      </c>
      <c r="BL153" s="2">
        <v>1.3</v>
      </c>
      <c r="BM153" s="2">
        <v>1.5</v>
      </c>
      <c r="BN153" s="2">
        <v>0</v>
      </c>
      <c r="BO153" s="2">
        <v>0.2</v>
      </c>
      <c r="BP153" s="2">
        <v>3.08</v>
      </c>
      <c r="BQ153" s="2">
        <v>0.68</v>
      </c>
    </row>
    <row r="154" spans="1:69" x14ac:dyDescent="0.2">
      <c r="A154">
        <v>20</v>
      </c>
      <c r="B154">
        <v>8</v>
      </c>
      <c r="C154" t="s">
        <v>23</v>
      </c>
      <c r="D154" t="s">
        <v>0</v>
      </c>
      <c r="E154">
        <v>2</v>
      </c>
      <c r="F154" s="2">
        <v>420.19714285714269</v>
      </c>
      <c r="G154" s="2">
        <v>397.45854383358102</v>
      </c>
      <c r="H154" s="2">
        <v>685.86024489795909</v>
      </c>
      <c r="I154" s="2">
        <v>683.74823179791974</v>
      </c>
      <c r="J154" s="2">
        <v>1106.0573877551019</v>
      </c>
      <c r="K154" s="2">
        <v>1081.2067756315007</v>
      </c>
      <c r="L154" s="2">
        <v>-22.738599023561676</v>
      </c>
      <c r="M154" s="2">
        <v>-24.850612123601195</v>
      </c>
      <c r="N154" s="2">
        <v>1.9589999999999999</v>
      </c>
      <c r="O154" s="2">
        <v>21.657000000000004</v>
      </c>
      <c r="P154" s="2">
        <v>0.58340000000000003</v>
      </c>
      <c r="Q154" s="2">
        <v>5.8306000000000004</v>
      </c>
      <c r="R154" s="2">
        <v>2.0937999999999999</v>
      </c>
      <c r="S154" s="2">
        <v>28.021999999999998</v>
      </c>
      <c r="T154" s="2">
        <v>97.802000000000007</v>
      </c>
      <c r="U154" s="2">
        <v>101.0228</v>
      </c>
      <c r="V154" s="2">
        <v>74.511200000000002</v>
      </c>
      <c r="W154" s="2">
        <v>75.027200000000008</v>
      </c>
      <c r="X154" s="2">
        <v>28.605399999999999</v>
      </c>
      <c r="Y154" s="2">
        <v>92.16</v>
      </c>
      <c r="Z154" s="2">
        <v>36.909999999999997</v>
      </c>
      <c r="AA154" s="2">
        <v>28.76</v>
      </c>
      <c r="AB154" s="2">
        <v>22.37</v>
      </c>
      <c r="AC154" s="2">
        <v>3.57</v>
      </c>
      <c r="AD154" s="2">
        <v>25.06</v>
      </c>
      <c r="AE154" s="2">
        <v>31.63</v>
      </c>
      <c r="AF154" s="2">
        <v>56.7</v>
      </c>
      <c r="AG154" s="2">
        <v>46.7</v>
      </c>
      <c r="AH154" s="2">
        <v>10</v>
      </c>
      <c r="AI154" s="2">
        <v>29.06</v>
      </c>
      <c r="AJ154" s="2">
        <v>6.41</v>
      </c>
      <c r="AK154" s="2">
        <v>1.385</v>
      </c>
      <c r="AL154" s="2">
        <v>1.046</v>
      </c>
      <c r="AM154" s="2">
        <v>0.86299999999999999</v>
      </c>
      <c r="AN154" s="2">
        <v>0.75600000000000001</v>
      </c>
      <c r="AO154" s="2">
        <v>1.448</v>
      </c>
      <c r="AP154" s="2">
        <v>0.67900000000000005</v>
      </c>
      <c r="AQ154" s="2">
        <v>1.167</v>
      </c>
      <c r="AR154" s="2">
        <v>1.51</v>
      </c>
      <c r="AS154" s="2">
        <v>16.59</v>
      </c>
      <c r="AT154" s="2">
        <v>272.3</v>
      </c>
      <c r="AU154" s="2">
        <v>1.3160000000000001</v>
      </c>
      <c r="AV154" s="2">
        <v>0.4</v>
      </c>
      <c r="AW154" s="2">
        <v>0.20799999999999999</v>
      </c>
      <c r="AX154" s="2">
        <v>0.17399999999999999</v>
      </c>
      <c r="AY154" s="2">
        <v>0.61799999999999999</v>
      </c>
      <c r="AZ154" s="2">
        <v>0.32</v>
      </c>
      <c r="BA154" s="2">
        <v>1.06</v>
      </c>
      <c r="BB154" s="2">
        <v>8.8000000000000007</v>
      </c>
      <c r="BC154" s="2">
        <v>82</v>
      </c>
      <c r="BD154" s="2">
        <v>1.6</v>
      </c>
      <c r="BE154" s="2">
        <v>5.5</v>
      </c>
      <c r="BF154" s="2">
        <v>47</v>
      </c>
      <c r="BG154" s="2">
        <v>145</v>
      </c>
      <c r="BH154" s="2">
        <v>910</v>
      </c>
      <c r="BI154" s="2">
        <v>283</v>
      </c>
      <c r="BJ154" s="2">
        <v>13</v>
      </c>
      <c r="BK154" s="2">
        <v>64.2</v>
      </c>
      <c r="BL154" s="2">
        <v>3.8</v>
      </c>
      <c r="BM154" s="2">
        <v>3.6</v>
      </c>
      <c r="BN154" s="2">
        <v>0</v>
      </c>
      <c r="BO154" s="2">
        <v>0.37</v>
      </c>
      <c r="BP154" s="2">
        <v>4.55</v>
      </c>
      <c r="BQ154" s="2">
        <v>2.33</v>
      </c>
    </row>
    <row r="155" spans="1:69" x14ac:dyDescent="0.2">
      <c r="A155">
        <v>20</v>
      </c>
      <c r="B155">
        <v>12</v>
      </c>
      <c r="C155" t="s">
        <v>23</v>
      </c>
      <c r="D155" t="s">
        <v>3</v>
      </c>
      <c r="E155">
        <v>4</v>
      </c>
      <c r="F155" s="2">
        <v>577.21553179516059</v>
      </c>
      <c r="G155" s="2">
        <v>701.24164648910414</v>
      </c>
      <c r="H155" s="2">
        <v>868.53960607765896</v>
      </c>
      <c r="I155" s="2">
        <v>1023.7397578692495</v>
      </c>
      <c r="J155" s="2">
        <v>1445.7551378728194</v>
      </c>
      <c r="K155" s="2">
        <v>1724.9814043583538</v>
      </c>
      <c r="L155" s="2">
        <v>124.02611469394355</v>
      </c>
      <c r="M155" s="2">
        <v>279.22626648553432</v>
      </c>
      <c r="N155" s="2">
        <v>5.2659000000000002</v>
      </c>
      <c r="O155" s="2">
        <v>54.494</v>
      </c>
      <c r="P155" s="2">
        <v>0.78481973434535102</v>
      </c>
      <c r="Q155" s="2">
        <v>207.34620000000001</v>
      </c>
      <c r="R155" s="2">
        <v>206.59900000000002</v>
      </c>
      <c r="S155" s="2">
        <v>12.563946869070209</v>
      </c>
      <c r="T155" s="2">
        <v>25.754799999999999</v>
      </c>
      <c r="U155" s="2">
        <v>12.857999999999999</v>
      </c>
      <c r="V155" s="2">
        <v>206.10823339658447</v>
      </c>
      <c r="W155" s="2">
        <v>219.75223339658444</v>
      </c>
      <c r="X155" s="2">
        <v>13.348766603415561</v>
      </c>
      <c r="Y155" s="2">
        <v>83.16</v>
      </c>
      <c r="Z155" s="2">
        <v>51.15</v>
      </c>
      <c r="AA155" s="2">
        <v>18.73</v>
      </c>
      <c r="AB155" s="2">
        <v>10.97</v>
      </c>
      <c r="AC155" s="2">
        <v>1.91</v>
      </c>
      <c r="AD155" s="2">
        <v>34.409999999999997</v>
      </c>
      <c r="AE155" s="2">
        <v>23.85</v>
      </c>
      <c r="AF155" s="2">
        <v>58.3</v>
      </c>
      <c r="AG155" s="2">
        <v>42.1</v>
      </c>
      <c r="AH155" s="2">
        <v>16.2</v>
      </c>
      <c r="AI155" s="2">
        <v>19.829999999999998</v>
      </c>
      <c r="AJ155" s="2">
        <v>5.07</v>
      </c>
      <c r="AK155" s="2">
        <v>1.93</v>
      </c>
      <c r="AL155" s="2">
        <v>1.407</v>
      </c>
      <c r="AM155" s="2">
        <v>0.83399999999999996</v>
      </c>
      <c r="AN155" s="2">
        <v>0.72899999999999998</v>
      </c>
      <c r="AO155" s="2">
        <v>2.7149999999999999</v>
      </c>
      <c r="AP155" s="2">
        <v>0.67300000000000004</v>
      </c>
      <c r="AQ155" s="2">
        <v>1.0529999999999999</v>
      </c>
      <c r="AR155" s="2">
        <v>4.4489999999999998</v>
      </c>
      <c r="AS155" s="2">
        <v>47.41</v>
      </c>
      <c r="AT155" s="2">
        <v>380.7</v>
      </c>
      <c r="AU155" s="2">
        <v>1.133</v>
      </c>
      <c r="AV155" s="2">
        <v>1.1200000000000001</v>
      </c>
      <c r="AW155" s="2">
        <v>0.34</v>
      </c>
      <c r="AX155" s="2">
        <v>0.221</v>
      </c>
      <c r="AY155" s="2">
        <v>0.439</v>
      </c>
      <c r="AZ155" s="2">
        <v>0.36</v>
      </c>
      <c r="BA155" s="2">
        <v>0.87</v>
      </c>
      <c r="BB155" s="2">
        <v>19.7</v>
      </c>
      <c r="BC155" s="2">
        <v>97</v>
      </c>
      <c r="BD155" s="2">
        <v>0.6</v>
      </c>
      <c r="BE155" s="2">
        <v>6.9</v>
      </c>
      <c r="BF155" s="2">
        <v>466</v>
      </c>
      <c r="BG155" s="2">
        <v>234</v>
      </c>
      <c r="BH155" s="2">
        <v>3059</v>
      </c>
      <c r="BI155" s="2">
        <v>391</v>
      </c>
      <c r="BJ155" s="2">
        <v>17</v>
      </c>
      <c r="BK155" s="2">
        <v>226.8</v>
      </c>
      <c r="BL155" s="2">
        <v>46.6</v>
      </c>
      <c r="BM155" s="2">
        <v>9.3000000000000007</v>
      </c>
      <c r="BN155" s="2">
        <v>0</v>
      </c>
      <c r="BO155" s="2">
        <v>0.6</v>
      </c>
      <c r="BP155" s="2">
        <v>15.3</v>
      </c>
      <c r="BQ155" s="2">
        <v>3.22</v>
      </c>
    </row>
    <row r="156" spans="1:69" x14ac:dyDescent="0.2">
      <c r="A156">
        <v>20</v>
      </c>
      <c r="B156">
        <v>23</v>
      </c>
      <c r="C156" t="s">
        <v>23</v>
      </c>
      <c r="D156" t="s">
        <v>7</v>
      </c>
      <c r="E156">
        <v>2</v>
      </c>
      <c r="F156" s="2">
        <v>319.1276322293624</v>
      </c>
      <c r="G156" s="2">
        <v>345.09520295202947</v>
      </c>
      <c r="H156" s="2">
        <v>606.3425012357884</v>
      </c>
      <c r="I156" s="2">
        <v>646.49690036900381</v>
      </c>
      <c r="J156" s="2">
        <v>925.47013346515087</v>
      </c>
      <c r="K156" s="2">
        <v>991.59210332103328</v>
      </c>
      <c r="L156" s="2">
        <v>25.967570722667062</v>
      </c>
      <c r="M156" s="2">
        <v>66.121969855882412</v>
      </c>
      <c r="N156" s="2">
        <v>2.5337999999999998</v>
      </c>
      <c r="O156" s="2">
        <v>24.375</v>
      </c>
      <c r="P156" s="2">
        <v>0.56579999999999997</v>
      </c>
      <c r="Q156" s="2">
        <v>30.808199999999999</v>
      </c>
      <c r="R156" s="2">
        <v>37.564999999999998</v>
      </c>
      <c r="S156" s="2">
        <v>34.641199999999998</v>
      </c>
      <c r="T156" s="2">
        <v>109.72040000000001</v>
      </c>
      <c r="U156" s="2">
        <v>104.07560000000001</v>
      </c>
      <c r="V156" s="2">
        <v>106.43360000000001</v>
      </c>
      <c r="W156" s="2">
        <v>105.32160000000002</v>
      </c>
      <c r="X156" s="2">
        <v>35.207000000000001</v>
      </c>
      <c r="Y156" s="2">
        <v>97.98</v>
      </c>
      <c r="Z156" s="2">
        <v>36.81</v>
      </c>
      <c r="AA156" s="2">
        <v>30.54</v>
      </c>
      <c r="AB156" s="2">
        <v>25.79</v>
      </c>
      <c r="AC156" s="2">
        <v>4.33</v>
      </c>
      <c r="AD156" s="2">
        <v>13.5</v>
      </c>
      <c r="AE156" s="2">
        <v>42.67</v>
      </c>
      <c r="AF156" s="2">
        <v>56.2</v>
      </c>
      <c r="AG156" s="2">
        <v>49.6</v>
      </c>
      <c r="AH156" s="2">
        <v>6.6</v>
      </c>
      <c r="AI156" s="2">
        <v>35.229999999999997</v>
      </c>
      <c r="AJ156" s="2">
        <v>6.58</v>
      </c>
      <c r="AK156" s="2">
        <v>1.3160000000000001</v>
      </c>
      <c r="AL156" s="2">
        <v>0.72499999999999998</v>
      </c>
      <c r="AM156" s="2">
        <v>0.83399999999999996</v>
      </c>
      <c r="AN156" s="2">
        <v>0.55100000000000005</v>
      </c>
      <c r="AO156" s="2">
        <v>0.95399999999999996</v>
      </c>
      <c r="AP156" s="2">
        <v>0.36699999999999999</v>
      </c>
      <c r="AQ156" s="2">
        <v>1.24</v>
      </c>
      <c r="AR156" s="2">
        <v>1.9630000000000001</v>
      </c>
      <c r="AS156" s="2">
        <v>20.170000000000002</v>
      </c>
      <c r="AT156" s="2">
        <v>179.1</v>
      </c>
      <c r="AU156" s="2">
        <v>1.383</v>
      </c>
      <c r="AV156" s="2">
        <v>1.1000000000000001</v>
      </c>
      <c r="AW156" s="2">
        <v>0.13600000000000001</v>
      </c>
      <c r="AX156" s="2">
        <v>0.17499999999999999</v>
      </c>
      <c r="AY156" s="2">
        <v>0.68899999999999995</v>
      </c>
      <c r="AZ156" s="2">
        <v>0.41</v>
      </c>
      <c r="BA156" s="2">
        <v>1.1399999999999999</v>
      </c>
      <c r="BB156" s="2">
        <v>8.8000000000000007</v>
      </c>
      <c r="BC156" s="2">
        <v>79</v>
      </c>
      <c r="BD156" s="2">
        <v>1.8</v>
      </c>
      <c r="BE156" s="2">
        <v>5.6</v>
      </c>
      <c r="BF156" s="2">
        <v>398</v>
      </c>
      <c r="BG156" s="2">
        <v>152</v>
      </c>
      <c r="BH156" s="2">
        <v>942</v>
      </c>
      <c r="BI156" s="2">
        <v>227</v>
      </c>
      <c r="BJ156" s="2">
        <v>16</v>
      </c>
      <c r="BK156" s="2">
        <v>59.5</v>
      </c>
      <c r="BL156" s="2">
        <v>33</v>
      </c>
      <c r="BM156" s="2">
        <v>10.4</v>
      </c>
      <c r="BN156" s="2">
        <v>0</v>
      </c>
      <c r="BO156" s="2">
        <v>0.39</v>
      </c>
      <c r="BP156" s="2">
        <v>4.71</v>
      </c>
      <c r="BQ156" s="2">
        <v>1.87</v>
      </c>
    </row>
    <row r="157" spans="1:69" x14ac:dyDescent="0.2">
      <c r="A157">
        <v>20</v>
      </c>
      <c r="B157">
        <v>30</v>
      </c>
      <c r="C157" t="s">
        <v>23</v>
      </c>
      <c r="D157" t="s">
        <v>5</v>
      </c>
      <c r="E157">
        <v>1</v>
      </c>
      <c r="F157" s="2">
        <v>724.93817271589489</v>
      </c>
      <c r="G157" s="2">
        <v>686.40148791072545</v>
      </c>
      <c r="H157" s="2">
        <v>1107.4185732165206</v>
      </c>
      <c r="I157" s="2">
        <v>1009.2159206447614</v>
      </c>
      <c r="J157" s="2">
        <v>1832.3567459324154</v>
      </c>
      <c r="K157" s="2">
        <v>1695.6174085554867</v>
      </c>
      <c r="L157" s="2">
        <v>-38.536684805169443</v>
      </c>
      <c r="M157" s="2">
        <v>-136.73933737692869</v>
      </c>
      <c r="N157" s="2">
        <v>2.9268000000000001</v>
      </c>
      <c r="O157" s="2">
        <v>37.425000000000004</v>
      </c>
      <c r="P157" s="2">
        <v>0.91400000000000003</v>
      </c>
      <c r="Q157" s="2">
        <v>6.3018000000000001</v>
      </c>
      <c r="R157" s="2">
        <v>8.7786000000000008</v>
      </c>
      <c r="S157" s="2">
        <v>25.107599999999998</v>
      </c>
      <c r="T157" s="2">
        <v>203.7286</v>
      </c>
      <c r="U157" s="2">
        <v>181.66659999999999</v>
      </c>
      <c r="V157" s="2">
        <v>164.42359999999999</v>
      </c>
      <c r="W157" s="2">
        <v>184.00879999999998</v>
      </c>
      <c r="X157" s="2">
        <v>26.021599999999999</v>
      </c>
      <c r="Y157" s="2">
        <v>75.28</v>
      </c>
      <c r="Z157" s="2">
        <v>42.51</v>
      </c>
      <c r="AA157" s="2">
        <v>20.39</v>
      </c>
      <c r="AB157" s="2">
        <v>10.53</v>
      </c>
      <c r="AC157" s="2">
        <v>1.52</v>
      </c>
      <c r="AD157" s="2">
        <v>33.58</v>
      </c>
      <c r="AE157" s="2">
        <v>23.85</v>
      </c>
      <c r="AF157" s="2">
        <v>57.4</v>
      </c>
      <c r="AG157" s="2">
        <v>38.1</v>
      </c>
      <c r="AH157" s="2">
        <v>19.3</v>
      </c>
      <c r="AI157" s="2">
        <v>14.66</v>
      </c>
      <c r="AJ157" s="2">
        <v>3.19</v>
      </c>
      <c r="AK157" s="2">
        <v>1.8149999999999999</v>
      </c>
      <c r="AL157" s="2">
        <v>1.5109999999999999</v>
      </c>
      <c r="AM157" s="2">
        <v>0.91300000000000003</v>
      </c>
      <c r="AN157" s="2">
        <v>0.83299999999999996</v>
      </c>
      <c r="AO157" s="2">
        <v>2.742</v>
      </c>
      <c r="AP157" s="2">
        <v>0.79</v>
      </c>
      <c r="AQ157" s="2">
        <v>0.95299999999999996</v>
      </c>
      <c r="AR157" s="2">
        <v>2.613</v>
      </c>
      <c r="AS157" s="2">
        <v>37.020000000000003</v>
      </c>
      <c r="AT157" s="2">
        <v>638.70000000000005</v>
      </c>
      <c r="AU157" s="2">
        <v>0.93600000000000005</v>
      </c>
      <c r="AV157" s="2">
        <v>0.39</v>
      </c>
      <c r="AW157" s="2">
        <v>0.245</v>
      </c>
      <c r="AX157" s="2">
        <v>0.25</v>
      </c>
      <c r="AY157" s="2">
        <v>0.505</v>
      </c>
      <c r="AZ157" s="2">
        <v>0.41</v>
      </c>
      <c r="BA157" s="2">
        <v>0.86</v>
      </c>
      <c r="BB157" s="2">
        <v>9.1999999999999993</v>
      </c>
      <c r="BC157" s="2">
        <v>87</v>
      </c>
      <c r="BD157" s="2">
        <v>1.2</v>
      </c>
      <c r="BE157" s="2">
        <v>6.2</v>
      </c>
      <c r="BF157" s="2">
        <v>10</v>
      </c>
      <c r="BG157" s="2">
        <v>171</v>
      </c>
      <c r="BH157" s="2">
        <v>1132</v>
      </c>
      <c r="BI157" s="2">
        <v>234</v>
      </c>
      <c r="BJ157" s="2">
        <v>10</v>
      </c>
      <c r="BK157" s="2">
        <v>205.8</v>
      </c>
      <c r="BL157" s="2">
        <v>3.2</v>
      </c>
      <c r="BM157" s="2">
        <v>3.5</v>
      </c>
      <c r="BN157" s="2">
        <v>0</v>
      </c>
      <c r="BO157" s="2">
        <v>0.44</v>
      </c>
      <c r="BP157" s="2">
        <v>5.66</v>
      </c>
      <c r="BQ157" s="2">
        <v>1.92</v>
      </c>
    </row>
    <row r="158" spans="1:69" x14ac:dyDescent="0.2">
      <c r="A158">
        <v>20</v>
      </c>
      <c r="B158">
        <v>106</v>
      </c>
      <c r="C158" t="s">
        <v>23</v>
      </c>
      <c r="D158" t="s">
        <v>0</v>
      </c>
      <c r="E158">
        <v>1</v>
      </c>
      <c r="F158" s="2">
        <v>782.39033927544574</v>
      </c>
      <c r="G158" s="2">
        <v>790.7590664272891</v>
      </c>
      <c r="H158" s="2">
        <v>1024.5670385278897</v>
      </c>
      <c r="I158" s="2">
        <v>1172.7787432675043</v>
      </c>
      <c r="J158" s="2">
        <v>1806.9573778033355</v>
      </c>
      <c r="K158" s="2">
        <v>1963.5378096947934</v>
      </c>
      <c r="L158" s="2">
        <v>8.368727151843359</v>
      </c>
      <c r="M158" s="2">
        <v>156.58043189145792</v>
      </c>
      <c r="N158" s="2">
        <v>3.9621</v>
      </c>
      <c r="O158" s="2">
        <v>42.347000000000001</v>
      </c>
      <c r="P158" s="2">
        <v>0.66359999999999997</v>
      </c>
      <c r="Q158" s="2">
        <v>39.246600000000001</v>
      </c>
      <c r="R158" s="2">
        <v>34.471400000000003</v>
      </c>
      <c r="S158" s="2">
        <v>46.564799999999998</v>
      </c>
      <c r="T158" s="2">
        <v>247.21859999999998</v>
      </c>
      <c r="U158" s="2">
        <v>251.28659999999999</v>
      </c>
      <c r="V158" s="2">
        <v>238.52959999999999</v>
      </c>
      <c r="W158" s="2">
        <v>239.23679999999999</v>
      </c>
      <c r="X158" s="2">
        <v>47.228400000000001</v>
      </c>
      <c r="Y158" s="2">
        <v>74.75</v>
      </c>
      <c r="Z158" s="2">
        <v>50.23</v>
      </c>
      <c r="AA158" s="2">
        <v>16.28</v>
      </c>
      <c r="AB158" s="2">
        <v>6.38</v>
      </c>
      <c r="AC158" s="2">
        <v>1.58</v>
      </c>
      <c r="AD158" s="2">
        <v>43.8</v>
      </c>
      <c r="AE158" s="2">
        <v>16.7</v>
      </c>
      <c r="AF158" s="2">
        <v>60.5</v>
      </c>
      <c r="AG158" s="2">
        <v>37.799999999999997</v>
      </c>
      <c r="AH158" s="2">
        <v>22.7</v>
      </c>
      <c r="AI158" s="2">
        <v>9.94</v>
      </c>
      <c r="AJ158" s="2">
        <v>4.3099999999999996</v>
      </c>
      <c r="AK158" s="2">
        <v>2.0819999999999999</v>
      </c>
      <c r="AL158" s="2">
        <v>1.8460000000000001</v>
      </c>
      <c r="AM158" s="2">
        <v>0.91</v>
      </c>
      <c r="AN158" s="2">
        <v>0.88700000000000001</v>
      </c>
      <c r="AO158" s="2">
        <v>3.843</v>
      </c>
      <c r="AP158" s="2">
        <v>0.872</v>
      </c>
      <c r="AQ158" s="2">
        <v>0.94599999999999995</v>
      </c>
      <c r="AR158" s="2">
        <v>3.2690000000000001</v>
      </c>
      <c r="AS158" s="2">
        <v>37.909999999999997</v>
      </c>
      <c r="AT158" s="2">
        <v>745.1</v>
      </c>
      <c r="AU158" s="2">
        <v>1.0349999999999999</v>
      </c>
      <c r="AV158" s="2">
        <v>0.32</v>
      </c>
      <c r="AW158" s="2">
        <v>0.37</v>
      </c>
      <c r="AX158" s="2">
        <v>0.253</v>
      </c>
      <c r="AY158" s="2">
        <v>0.377</v>
      </c>
      <c r="AZ158" s="2">
        <v>0.41</v>
      </c>
      <c r="BA158" s="2">
        <v>0.69</v>
      </c>
      <c r="BB158" s="2">
        <v>8.4</v>
      </c>
      <c r="BC158" s="2">
        <v>82</v>
      </c>
      <c r="BD158" s="2">
        <v>1.5</v>
      </c>
      <c r="BE158" s="2">
        <v>5.6</v>
      </c>
      <c r="BF158" s="2">
        <v>103</v>
      </c>
      <c r="BG158" s="2">
        <v>215</v>
      </c>
      <c r="BH158" s="2">
        <v>867</v>
      </c>
      <c r="BI158" s="2">
        <v>246</v>
      </c>
      <c r="BJ158" s="2">
        <v>24</v>
      </c>
      <c r="BK158" s="2">
        <v>47.6</v>
      </c>
      <c r="BL158" s="2">
        <v>13.1</v>
      </c>
      <c r="BM158" s="2">
        <v>5.7</v>
      </c>
      <c r="BN158" s="2">
        <v>0</v>
      </c>
      <c r="BO158" s="2">
        <v>0.55000000000000004</v>
      </c>
      <c r="BP158" s="2">
        <v>4.34</v>
      </c>
      <c r="BQ158" s="2">
        <v>2.02</v>
      </c>
    </row>
    <row r="159" spans="1:69" x14ac:dyDescent="0.2">
      <c r="A159">
        <v>20</v>
      </c>
      <c r="B159">
        <v>137</v>
      </c>
      <c r="C159" t="s">
        <v>23</v>
      </c>
      <c r="D159" t="s">
        <v>0</v>
      </c>
      <c r="E159">
        <v>3</v>
      </c>
      <c r="F159" s="2">
        <v>451.76201005025121</v>
      </c>
      <c r="G159" s="2">
        <v>482.68799999999993</v>
      </c>
      <c r="H159" s="2">
        <v>725.54797989949759</v>
      </c>
      <c r="I159" s="2">
        <v>737.13353142857147</v>
      </c>
      <c r="J159" s="2">
        <v>1177.3099899497488</v>
      </c>
      <c r="K159" s="2">
        <v>1219.8215314285715</v>
      </c>
      <c r="L159" s="2">
        <v>30.925989949748725</v>
      </c>
      <c r="M159" s="2">
        <v>42.511541478822664</v>
      </c>
      <c r="N159" s="2">
        <v>2.8120000000000003</v>
      </c>
      <c r="O159" s="2">
        <v>28.3</v>
      </c>
      <c r="P159" s="2">
        <v>0.60660000000000003</v>
      </c>
      <c r="Q159" s="2">
        <v>10.764200000000001</v>
      </c>
      <c r="R159" s="2">
        <v>15.725</v>
      </c>
      <c r="S159" s="2">
        <v>30.7822</v>
      </c>
      <c r="T159" s="2">
        <v>157.63059999999999</v>
      </c>
      <c r="U159" s="2">
        <v>133.05879999999999</v>
      </c>
      <c r="V159" s="2">
        <v>117.39499999999998</v>
      </c>
      <c r="W159" s="2">
        <v>137.00599999999997</v>
      </c>
      <c r="X159" s="2">
        <v>31.3888</v>
      </c>
      <c r="Y159" s="2">
        <v>82.74</v>
      </c>
      <c r="Z159" s="2">
        <v>50.26</v>
      </c>
      <c r="AA159" s="2">
        <v>18.12</v>
      </c>
      <c r="AB159" s="2">
        <v>12.06</v>
      </c>
      <c r="AC159" s="2">
        <v>2.0099999999999998</v>
      </c>
      <c r="AD159" s="2">
        <v>36.49</v>
      </c>
      <c r="AE159" s="2">
        <v>20.39</v>
      </c>
      <c r="AF159" s="2">
        <v>56.9</v>
      </c>
      <c r="AG159" s="2">
        <v>41.9</v>
      </c>
      <c r="AH159" s="2">
        <v>15</v>
      </c>
      <c r="AI159" s="2">
        <v>19.809999999999999</v>
      </c>
      <c r="AJ159" s="2">
        <v>6.05</v>
      </c>
      <c r="AK159" s="2">
        <v>1.9059999999999999</v>
      </c>
      <c r="AL159" s="2">
        <v>1.46</v>
      </c>
      <c r="AM159" s="2">
        <v>0.83199999999999996</v>
      </c>
      <c r="AN159" s="2">
        <v>0.76600000000000001</v>
      </c>
      <c r="AO159" s="2">
        <v>2.7839999999999998</v>
      </c>
      <c r="AP159" s="2">
        <v>0.72599999999999998</v>
      </c>
      <c r="AQ159" s="2">
        <v>1.0469999999999999</v>
      </c>
      <c r="AR159" s="2">
        <v>1.984</v>
      </c>
      <c r="AS159" s="2">
        <v>22.19</v>
      </c>
      <c r="AT159" s="2">
        <v>407.2</v>
      </c>
      <c r="AU159" s="2">
        <v>1.177</v>
      </c>
      <c r="AV159" s="2">
        <v>1.3</v>
      </c>
      <c r="AW159" s="2">
        <v>0.32800000000000001</v>
      </c>
      <c r="AX159" s="2">
        <v>0.27500000000000002</v>
      </c>
      <c r="AY159" s="2">
        <v>0.39800000000000002</v>
      </c>
      <c r="AZ159" s="2">
        <v>0.27</v>
      </c>
      <c r="BA159" s="2">
        <v>0.78</v>
      </c>
      <c r="BB159" s="2">
        <v>8</v>
      </c>
      <c r="BC159" s="2">
        <v>82</v>
      </c>
      <c r="BD159" s="2">
        <v>1.4</v>
      </c>
      <c r="BE159" s="2">
        <v>5.4</v>
      </c>
      <c r="BF159" s="2">
        <v>10</v>
      </c>
      <c r="BG159" s="2">
        <v>258</v>
      </c>
      <c r="BH159" s="2">
        <v>767</v>
      </c>
      <c r="BI159" s="2">
        <v>253</v>
      </c>
      <c r="BJ159" s="2">
        <v>16</v>
      </c>
      <c r="BK159" s="2">
        <v>75.400000000000006</v>
      </c>
      <c r="BL159" s="2">
        <v>2.7</v>
      </c>
      <c r="BM159" s="2">
        <v>2.9</v>
      </c>
      <c r="BN159" s="2">
        <v>0</v>
      </c>
      <c r="BO159" s="2">
        <v>0.66</v>
      </c>
      <c r="BP159" s="2">
        <v>3.84</v>
      </c>
      <c r="BQ159" s="2">
        <v>2.08</v>
      </c>
    </row>
    <row r="160" spans="1:69" x14ac:dyDescent="0.2">
      <c r="A160">
        <v>20</v>
      </c>
      <c r="B160">
        <v>142</v>
      </c>
      <c r="C160" t="s">
        <v>23</v>
      </c>
      <c r="D160" t="s">
        <v>3</v>
      </c>
      <c r="E160">
        <v>1</v>
      </c>
      <c r="F160" s="2">
        <v>364.63219512195116</v>
      </c>
      <c r="G160" s="2">
        <v>389.50158343483537</v>
      </c>
      <c r="H160" s="2">
        <v>712.25912195121941</v>
      </c>
      <c r="I160" s="2">
        <v>671.70650426309373</v>
      </c>
      <c r="J160" s="2">
        <v>1076.8913170731705</v>
      </c>
      <c r="K160" s="2">
        <v>1061.2080876979292</v>
      </c>
      <c r="L160" s="2">
        <v>24.869388312884212</v>
      </c>
      <c r="M160" s="2">
        <v>-15.683229375241353</v>
      </c>
      <c r="N160" s="2">
        <v>2.3860999999999999</v>
      </c>
      <c r="O160" s="2">
        <v>24.387</v>
      </c>
      <c r="P160" s="2">
        <v>0.58479999999999999</v>
      </c>
      <c r="Q160" s="2">
        <v>51.782600000000002</v>
      </c>
      <c r="R160" s="2">
        <v>53.488199999999999</v>
      </c>
      <c r="S160" s="2">
        <v>26.6812</v>
      </c>
      <c r="T160" s="2">
        <v>84.45320000000001</v>
      </c>
      <c r="U160" s="2">
        <v>75.671600000000012</v>
      </c>
      <c r="V160" s="2">
        <v>101.89380000000001</v>
      </c>
      <c r="W160" s="2">
        <v>108.96980000000001</v>
      </c>
      <c r="X160" s="2">
        <v>27.266000000000002</v>
      </c>
      <c r="Y160" s="2">
        <v>81.819999999999993</v>
      </c>
      <c r="Z160" s="2">
        <v>51.49</v>
      </c>
      <c r="AA160" s="2">
        <v>19.23</v>
      </c>
      <c r="AB160" s="2">
        <v>9.1300000000000008</v>
      </c>
      <c r="AC160" s="2">
        <v>1.75</v>
      </c>
      <c r="AD160" s="2">
        <v>34.119999999999997</v>
      </c>
      <c r="AE160" s="2">
        <v>19.920000000000002</v>
      </c>
      <c r="AF160" s="2">
        <v>54</v>
      </c>
      <c r="AG160" s="2">
        <v>41.4</v>
      </c>
      <c r="AH160" s="2">
        <v>12.6</v>
      </c>
      <c r="AI160" s="2">
        <v>21.9</v>
      </c>
      <c r="AJ160" s="2">
        <v>5.88</v>
      </c>
      <c r="AK160" s="2">
        <v>1.974</v>
      </c>
      <c r="AL160" s="2">
        <v>1.3939999999999999</v>
      </c>
      <c r="AM160" s="2">
        <v>0.76400000000000001</v>
      </c>
      <c r="AN160" s="2">
        <v>0.70599999999999996</v>
      </c>
      <c r="AO160" s="2">
        <v>2.7509999999999999</v>
      </c>
      <c r="AP160" s="2">
        <v>0.66300000000000003</v>
      </c>
      <c r="AQ160" s="2">
        <v>1.036</v>
      </c>
      <c r="AR160" s="2">
        <v>1.911</v>
      </c>
      <c r="AS160" s="2">
        <v>21.49</v>
      </c>
      <c r="AT160" s="2">
        <v>317.7</v>
      </c>
      <c r="AU160" s="2">
        <v>1.2330000000000001</v>
      </c>
      <c r="AV160" s="2">
        <v>0.34</v>
      </c>
      <c r="AW160" s="2">
        <v>0.35699999999999998</v>
      </c>
      <c r="AX160" s="2">
        <v>0.28100000000000003</v>
      </c>
      <c r="AY160" s="2">
        <v>0.36199999999999999</v>
      </c>
      <c r="AZ160" s="2">
        <v>0.27</v>
      </c>
      <c r="BA160" s="2">
        <v>0.79</v>
      </c>
      <c r="BB160" s="2">
        <v>8.5</v>
      </c>
      <c r="BC160" s="2">
        <v>84</v>
      </c>
      <c r="BD160" s="2">
        <v>1.4</v>
      </c>
      <c r="BE160" s="2">
        <v>5.7</v>
      </c>
      <c r="BF160" s="2">
        <v>135</v>
      </c>
      <c r="BG160" s="2">
        <v>118</v>
      </c>
      <c r="BH160" s="2">
        <v>943</v>
      </c>
      <c r="BI160" s="2">
        <v>255</v>
      </c>
      <c r="BJ160" s="2">
        <v>17</v>
      </c>
      <c r="BK160" s="2">
        <v>52</v>
      </c>
      <c r="BL160" s="2">
        <v>12.1</v>
      </c>
      <c r="BM160" s="2">
        <v>5.0999999999999996</v>
      </c>
      <c r="BN160" s="2">
        <v>0</v>
      </c>
      <c r="BO160" s="2">
        <v>0.3</v>
      </c>
      <c r="BP160" s="2">
        <v>4.72</v>
      </c>
      <c r="BQ160" s="2">
        <v>2.1</v>
      </c>
    </row>
    <row r="161" spans="1:69" x14ac:dyDescent="0.2">
      <c r="A161">
        <v>20</v>
      </c>
      <c r="B161">
        <v>156</v>
      </c>
      <c r="C161" t="s">
        <v>23</v>
      </c>
      <c r="D161" t="s">
        <v>3</v>
      </c>
      <c r="E161">
        <v>2</v>
      </c>
      <c r="F161" s="2">
        <v>378.1867435158502</v>
      </c>
      <c r="G161" s="2">
        <v>401.4008344923505</v>
      </c>
      <c r="H161" s="2">
        <v>583.36391930835725</v>
      </c>
      <c r="I161" s="2">
        <v>656.7868706536857</v>
      </c>
      <c r="J161" s="2">
        <v>961.55066282420739</v>
      </c>
      <c r="K161" s="2">
        <v>1058.1877051460363</v>
      </c>
      <c r="L161" s="2">
        <v>23.214090976500302</v>
      </c>
      <c r="M161" s="2">
        <v>96.637042321828858</v>
      </c>
      <c r="N161" s="2">
        <v>2.9032999999999998</v>
      </c>
      <c r="O161" s="2">
        <v>29.918999999999997</v>
      </c>
      <c r="P161" s="2">
        <v>0.43020000000000003</v>
      </c>
      <c r="Q161" s="2">
        <v>51.366599999999998</v>
      </c>
      <c r="R161" s="2">
        <v>48.1738</v>
      </c>
      <c r="S161" s="2">
        <v>31.561199999999999</v>
      </c>
      <c r="T161" s="2">
        <v>66.636400000000009</v>
      </c>
      <c r="U161" s="2">
        <v>70.342800000000011</v>
      </c>
      <c r="V161" s="2">
        <v>86.525200000000012</v>
      </c>
      <c r="W161" s="2">
        <v>86.011600000000016</v>
      </c>
      <c r="X161" s="2">
        <v>31.991399999999999</v>
      </c>
      <c r="Y161" s="2">
        <v>84.11</v>
      </c>
      <c r="Z161" s="2">
        <v>62.55</v>
      </c>
      <c r="AA161" s="2">
        <v>12.42</v>
      </c>
      <c r="AB161" s="2">
        <v>7.18</v>
      </c>
      <c r="AC161" s="2">
        <v>1.78</v>
      </c>
      <c r="AD161" s="2">
        <v>38.81</v>
      </c>
      <c r="AE161" s="2">
        <v>20.72</v>
      </c>
      <c r="AF161" s="2">
        <v>59.5</v>
      </c>
      <c r="AG161" s="2">
        <v>42.6</v>
      </c>
      <c r="AH161" s="2">
        <v>16.899999999999999</v>
      </c>
      <c r="AI161" s="2">
        <v>19.920000000000002</v>
      </c>
      <c r="AJ161" s="2">
        <v>4.66</v>
      </c>
      <c r="AK161" s="2">
        <v>2.2440000000000002</v>
      </c>
      <c r="AL161" s="2">
        <v>1.518</v>
      </c>
      <c r="AM161" s="2">
        <v>0.79400000000000004</v>
      </c>
      <c r="AN161" s="2">
        <v>0.67700000000000005</v>
      </c>
      <c r="AO161" s="2">
        <v>3.4060000000000001</v>
      </c>
      <c r="AP161" s="2">
        <v>0.62</v>
      </c>
      <c r="AQ161" s="2">
        <v>1.0649999999999999</v>
      </c>
      <c r="AR161" s="2">
        <v>2.2109999999999999</v>
      </c>
      <c r="AS161" s="2">
        <v>24.31</v>
      </c>
      <c r="AT161" s="2">
        <v>294.8</v>
      </c>
      <c r="AU161" s="2">
        <v>1.296</v>
      </c>
      <c r="AV161" s="2">
        <v>2.87</v>
      </c>
      <c r="AW161" s="2">
        <v>0.14799999999999999</v>
      </c>
      <c r="AX161" s="2">
        <v>0.23599999999999999</v>
      </c>
      <c r="AY161" s="2">
        <v>0.61599999999999999</v>
      </c>
      <c r="AZ161" s="2">
        <v>0.18</v>
      </c>
      <c r="BA161" s="2">
        <v>0.88</v>
      </c>
      <c r="BB161" s="2">
        <v>20.5</v>
      </c>
      <c r="BC161" s="2">
        <v>95</v>
      </c>
      <c r="BD161" s="2">
        <v>1</v>
      </c>
      <c r="BE161" s="2">
        <v>6.5</v>
      </c>
      <c r="BF161" s="2">
        <v>137</v>
      </c>
      <c r="BG161" s="2">
        <v>159</v>
      </c>
      <c r="BH161" s="2">
        <v>2895</v>
      </c>
      <c r="BI161" s="2">
        <v>569</v>
      </c>
      <c r="BJ161" s="2">
        <v>12</v>
      </c>
      <c r="BK161" s="2">
        <v>118.6</v>
      </c>
      <c r="BL161" s="2">
        <v>12.2</v>
      </c>
      <c r="BM161" s="2">
        <v>3.5</v>
      </c>
      <c r="BN161" s="2">
        <v>0</v>
      </c>
      <c r="BO161" s="2">
        <v>0.41</v>
      </c>
      <c r="BP161" s="2">
        <v>14.48</v>
      </c>
      <c r="BQ161" s="2">
        <v>4.68</v>
      </c>
    </row>
    <row r="162" spans="1:69" x14ac:dyDescent="0.2">
      <c r="A162">
        <v>20</v>
      </c>
      <c r="B162">
        <v>167</v>
      </c>
      <c r="C162" t="s">
        <v>23</v>
      </c>
      <c r="D162" t="s">
        <v>7</v>
      </c>
      <c r="E162">
        <v>3</v>
      </c>
      <c r="F162" s="2">
        <v>403.16682027649779</v>
      </c>
      <c r="G162" s="2">
        <v>531.1391051714121</v>
      </c>
      <c r="H162" s="2">
        <v>641.97751152073738</v>
      </c>
      <c r="I162" s="2">
        <v>744.29592097617649</v>
      </c>
      <c r="J162" s="2">
        <v>1045.1443317972353</v>
      </c>
      <c r="K162" s="2">
        <v>1275.4350261475886</v>
      </c>
      <c r="L162" s="2">
        <v>127.97228489491431</v>
      </c>
      <c r="M162" s="2">
        <v>230.29069435035331</v>
      </c>
      <c r="N162" s="2">
        <v>2.7397999999999998</v>
      </c>
      <c r="O162" s="2">
        <v>28.451000000000001</v>
      </c>
      <c r="P162" s="2">
        <v>1.5018072289156628</v>
      </c>
      <c r="Q162" s="2">
        <v>83.219399999999993</v>
      </c>
      <c r="R162" s="2">
        <v>162.12499999999997</v>
      </c>
      <c r="S162" s="2">
        <v>29.646987951807233</v>
      </c>
      <c r="T162" s="2">
        <v>63.671599999999998</v>
      </c>
      <c r="U162" s="2">
        <v>12.83</v>
      </c>
      <c r="V162" s="2">
        <v>143.8062048192771</v>
      </c>
      <c r="W162" s="2">
        <v>115.74220481927709</v>
      </c>
      <c r="X162" s="2">
        <v>31.148795180722896</v>
      </c>
      <c r="Y162" s="2">
        <v>85.86</v>
      </c>
      <c r="Z162" s="2">
        <v>51.87</v>
      </c>
      <c r="AA162" s="2">
        <v>18.170000000000002</v>
      </c>
      <c r="AB162" s="2">
        <v>11.75</v>
      </c>
      <c r="AC162" s="2">
        <v>3.7</v>
      </c>
      <c r="AD162" s="2">
        <v>17.79</v>
      </c>
      <c r="AE162" s="2">
        <v>24.12</v>
      </c>
      <c r="AF162" s="2">
        <v>41.9</v>
      </c>
      <c r="AG162" s="2">
        <v>43.5</v>
      </c>
      <c r="AH162" s="2">
        <v>-1.6</v>
      </c>
      <c r="AI162" s="2">
        <v>35.83</v>
      </c>
      <c r="AJ162" s="2">
        <v>8.1199999999999992</v>
      </c>
      <c r="AK162" s="2">
        <v>1.891</v>
      </c>
      <c r="AL162" s="2">
        <v>0.83699999999999997</v>
      </c>
      <c r="AM162" s="2">
        <v>0.59799999999999998</v>
      </c>
      <c r="AN162" s="2">
        <v>0.443</v>
      </c>
      <c r="AO162" s="2">
        <v>1.5840000000000001</v>
      </c>
      <c r="AP162" s="2">
        <v>0.34300000000000003</v>
      </c>
      <c r="AQ162" s="2">
        <v>1.087</v>
      </c>
      <c r="AR162" s="2">
        <v>2.0310000000000001</v>
      </c>
      <c r="AS162" s="2">
        <v>22.91</v>
      </c>
      <c r="AT162" s="2">
        <v>297.89999999999998</v>
      </c>
      <c r="AU162" s="2">
        <v>1.323</v>
      </c>
      <c r="AV162" s="2">
        <v>0.1</v>
      </c>
      <c r="AW162" s="2">
        <v>0.23</v>
      </c>
      <c r="AX162" s="2">
        <v>0.29699999999999999</v>
      </c>
      <c r="AY162" s="2">
        <v>0.47399999999999998</v>
      </c>
      <c r="AZ162" s="2">
        <v>0.36</v>
      </c>
      <c r="BA162" s="2">
        <v>0.9</v>
      </c>
      <c r="BB162" s="2">
        <v>13.2</v>
      </c>
      <c r="BC162" s="2">
        <v>92</v>
      </c>
      <c r="BD162" s="2">
        <v>1</v>
      </c>
      <c r="BE162" s="2">
        <v>6.4</v>
      </c>
      <c r="BF162" s="2">
        <v>296</v>
      </c>
      <c r="BG162" s="2">
        <v>261</v>
      </c>
      <c r="BH162" s="2">
        <v>1959</v>
      </c>
      <c r="BI162" s="2">
        <v>208</v>
      </c>
      <c r="BJ162" s="2">
        <v>13</v>
      </c>
      <c r="BK162" s="2">
        <v>172.6</v>
      </c>
      <c r="BL162" s="2">
        <v>19.2</v>
      </c>
      <c r="BM162" s="2">
        <v>8.1999999999999993</v>
      </c>
      <c r="BN162" s="2">
        <v>0.1</v>
      </c>
      <c r="BO162" s="2">
        <v>0.67</v>
      </c>
      <c r="BP162" s="2">
        <v>9.8000000000000007</v>
      </c>
      <c r="BQ162" s="2">
        <v>1.71</v>
      </c>
    </row>
    <row r="163" spans="1:69" x14ac:dyDescent="0.2">
      <c r="A163">
        <v>20</v>
      </c>
      <c r="B163">
        <v>176</v>
      </c>
      <c r="C163" t="s">
        <v>23</v>
      </c>
      <c r="D163" t="s">
        <v>3</v>
      </c>
      <c r="E163">
        <v>3</v>
      </c>
      <c r="F163" s="2">
        <v>350.18100558659205</v>
      </c>
      <c r="G163" s="2">
        <v>411.19397260273985</v>
      </c>
      <c r="H163" s="2">
        <v>521.71351955307262</v>
      </c>
      <c r="I163" s="2">
        <v>776.10279452054783</v>
      </c>
      <c r="J163" s="2">
        <v>871.89452513966467</v>
      </c>
      <c r="K163" s="2">
        <v>1187.2967671232877</v>
      </c>
      <c r="L163" s="2">
        <v>61.012967016147797</v>
      </c>
      <c r="M163" s="2">
        <v>315.40224198362307</v>
      </c>
      <c r="N163" s="2">
        <v>2.2453000000000003</v>
      </c>
      <c r="O163" s="2">
        <v>22.43</v>
      </c>
      <c r="P163" s="2">
        <v>0.70020000000000004</v>
      </c>
      <c r="Q163" s="2">
        <v>81.5154</v>
      </c>
      <c r="R163" s="2">
        <v>98.868199999999987</v>
      </c>
      <c r="S163" s="2">
        <v>20.936399999999999</v>
      </c>
      <c r="T163" s="2">
        <v>30.053999999999998</v>
      </c>
      <c r="U163" s="2">
        <v>14.9572</v>
      </c>
      <c r="V163" s="2">
        <v>92.188799999999986</v>
      </c>
      <c r="W163" s="2">
        <v>89.9328</v>
      </c>
      <c r="X163" s="2">
        <v>21.636599999999998</v>
      </c>
      <c r="Y163" s="2">
        <v>77.19</v>
      </c>
      <c r="Z163" s="2">
        <v>56.75</v>
      </c>
      <c r="AA163" s="2">
        <v>12.64</v>
      </c>
      <c r="AB163" s="2">
        <v>5.77</v>
      </c>
      <c r="AC163" s="2">
        <v>1.75</v>
      </c>
      <c r="AD163" s="2">
        <v>23.94</v>
      </c>
      <c r="AE163" s="2">
        <v>16.12</v>
      </c>
      <c r="AF163" s="2">
        <v>40.1</v>
      </c>
      <c r="AG163" s="2">
        <v>39.1</v>
      </c>
      <c r="AH163" s="2">
        <v>1</v>
      </c>
      <c r="AI163" s="2">
        <v>28.43</v>
      </c>
      <c r="AJ163" s="2">
        <v>8.6999999999999993</v>
      </c>
      <c r="AK163" s="2">
        <v>2.2280000000000002</v>
      </c>
      <c r="AL163" s="2">
        <v>1.081</v>
      </c>
      <c r="AM163" s="2">
        <v>0.57699999999999996</v>
      </c>
      <c r="AN163" s="2">
        <v>0.48499999999999999</v>
      </c>
      <c r="AO163" s="2">
        <v>2.4089999999999998</v>
      </c>
      <c r="AP163" s="2">
        <v>0.42199999999999999</v>
      </c>
      <c r="AQ163" s="2">
        <v>0.97699999999999998</v>
      </c>
      <c r="AR163" s="2">
        <v>1.784</v>
      </c>
      <c r="AS163" s="2">
        <v>19.579999999999998</v>
      </c>
      <c r="AT163" s="2">
        <v>236.2</v>
      </c>
      <c r="AU163" s="2">
        <v>1.1739999999999999</v>
      </c>
      <c r="AV163" s="2">
        <v>0.03</v>
      </c>
      <c r="AW163" s="2">
        <v>0.34399999999999997</v>
      </c>
      <c r="AX163" s="2">
        <v>0.40699999999999997</v>
      </c>
      <c r="AY163" s="2">
        <v>0.249</v>
      </c>
      <c r="AZ163" s="2">
        <v>0.32</v>
      </c>
      <c r="BA163" s="2">
        <v>0.84</v>
      </c>
      <c r="BB163" s="2">
        <v>16.899999999999999</v>
      </c>
      <c r="BC163" s="2">
        <v>97</v>
      </c>
      <c r="BD163" s="2">
        <v>0.4</v>
      </c>
      <c r="BE163" s="2">
        <v>7</v>
      </c>
      <c r="BF163" s="2">
        <v>261</v>
      </c>
      <c r="BG163" s="2">
        <v>145</v>
      </c>
      <c r="BH163" s="2">
        <v>2526</v>
      </c>
      <c r="BI163" s="2">
        <v>422</v>
      </c>
      <c r="BJ163" s="2">
        <v>20</v>
      </c>
      <c r="BK163" s="2">
        <v>104.5</v>
      </c>
      <c r="BL163" s="2">
        <v>22.9</v>
      </c>
      <c r="BM163" s="2">
        <v>7</v>
      </c>
      <c r="BN163" s="2">
        <v>0.1</v>
      </c>
      <c r="BO163" s="2">
        <v>0.37</v>
      </c>
      <c r="BP163" s="2">
        <v>12.63</v>
      </c>
      <c r="BQ163" s="2">
        <v>3.47</v>
      </c>
    </row>
    <row r="164" spans="1:69" x14ac:dyDescent="0.2">
      <c r="A164">
        <v>10</v>
      </c>
      <c r="B164">
        <v>191</v>
      </c>
      <c r="C164" t="s">
        <v>23</v>
      </c>
      <c r="D164" t="s">
        <v>7</v>
      </c>
      <c r="E164">
        <v>1</v>
      </c>
      <c r="F164" s="2">
        <v>144.34285714285676</v>
      </c>
      <c r="G164" s="2">
        <v>242.35550405561909</v>
      </c>
      <c r="H164" s="2">
        <v>510.26466165413507</v>
      </c>
      <c r="I164" s="2">
        <v>282.74808806488977</v>
      </c>
      <c r="J164" s="2">
        <v>654.60751879699183</v>
      </c>
      <c r="K164" s="2">
        <v>525.10359212050889</v>
      </c>
      <c r="L164" s="2">
        <v>98.012646912762335</v>
      </c>
      <c r="M164" s="2">
        <v>-129.50392667648293</v>
      </c>
      <c r="N164" s="2">
        <v>1.0001</v>
      </c>
      <c r="O164" s="2">
        <v>11.776999999999999</v>
      </c>
      <c r="P164" s="2" t="s">
        <v>14</v>
      </c>
      <c r="Q164" s="2">
        <v>3.3723723723723724</v>
      </c>
      <c r="R164" s="2">
        <v>2.6383141762452107</v>
      </c>
      <c r="S164" s="2" t="s">
        <v>14</v>
      </c>
      <c r="T164" s="2">
        <v>36.430830830830828</v>
      </c>
      <c r="U164" s="2">
        <v>45.139719029374206</v>
      </c>
      <c r="V164" s="2" t="s">
        <v>14</v>
      </c>
      <c r="W164" s="2" t="s">
        <v>14</v>
      </c>
      <c r="X164" s="2" t="s">
        <v>14</v>
      </c>
      <c r="Y164" s="2">
        <v>87.58</v>
      </c>
      <c r="Z164" s="2">
        <v>56.63</v>
      </c>
      <c r="AA164" s="2">
        <v>18.61</v>
      </c>
      <c r="AB164" s="2">
        <v>9.39</v>
      </c>
      <c r="AC164" s="2">
        <v>2.5099999999999998</v>
      </c>
      <c r="AD164" s="2">
        <v>6.37</v>
      </c>
      <c r="AE164" s="2">
        <v>19.260000000000002</v>
      </c>
      <c r="AF164" s="2">
        <v>25.6</v>
      </c>
      <c r="AG164" s="2">
        <v>44.3</v>
      </c>
      <c r="AH164" s="2">
        <v>-18.7</v>
      </c>
      <c r="AI164" s="2">
        <v>47.53</v>
      </c>
      <c r="AJ164" s="2">
        <v>14.42</v>
      </c>
      <c r="AK164" s="2">
        <v>2.0089999999999999</v>
      </c>
      <c r="AL164" s="2">
        <v>0.434</v>
      </c>
      <c r="AM164" s="2">
        <v>0.34100000000000003</v>
      </c>
      <c r="AN164" s="2">
        <v>0.216</v>
      </c>
      <c r="AO164" s="2">
        <v>0.871</v>
      </c>
      <c r="AP164" s="2">
        <v>0.112</v>
      </c>
      <c r="AQ164" s="2">
        <v>1.109</v>
      </c>
      <c r="AR164" s="2">
        <v>0.73799999999999999</v>
      </c>
      <c r="AS164" s="2">
        <v>9.1199999999999992</v>
      </c>
      <c r="AT164" s="2">
        <v>69.3</v>
      </c>
      <c r="AU164" s="2">
        <v>1.25</v>
      </c>
      <c r="AV164" s="2">
        <v>0.22</v>
      </c>
      <c r="AW164" s="2">
        <v>0.46800000000000003</v>
      </c>
      <c r="AX164" s="2">
        <v>0.23</v>
      </c>
      <c r="AY164" s="2">
        <v>0.30199999999999999</v>
      </c>
      <c r="AZ164" s="2">
        <v>0.13</v>
      </c>
      <c r="BA164" s="2">
        <v>0.99</v>
      </c>
      <c r="BB164" s="2">
        <v>7.3</v>
      </c>
      <c r="BC164" s="2">
        <v>93</v>
      </c>
      <c r="BD164" s="2">
        <v>0.5</v>
      </c>
      <c r="BE164" s="2">
        <v>6.7</v>
      </c>
      <c r="BF164" s="2">
        <v>33</v>
      </c>
      <c r="BG164" s="2">
        <v>149</v>
      </c>
      <c r="BH164" s="2">
        <v>914</v>
      </c>
      <c r="BI164" s="2">
        <v>230</v>
      </c>
      <c r="BJ164" s="2">
        <v>32</v>
      </c>
      <c r="BK164" s="2">
        <v>187.8</v>
      </c>
      <c r="BL164" s="2">
        <v>6.9</v>
      </c>
      <c r="BM164" s="2">
        <v>4.0999999999999996</v>
      </c>
      <c r="BN164" s="2">
        <v>0</v>
      </c>
      <c r="BO164" s="2">
        <v>0.38</v>
      </c>
      <c r="BP164" s="2">
        <v>4.57</v>
      </c>
      <c r="BQ164" s="2">
        <v>1.89</v>
      </c>
    </row>
    <row r="165" spans="1:69" x14ac:dyDescent="0.2">
      <c r="A165">
        <v>20</v>
      </c>
      <c r="B165">
        <v>207</v>
      </c>
      <c r="C165" t="s">
        <v>23</v>
      </c>
      <c r="D165" t="s">
        <v>0</v>
      </c>
      <c r="E165">
        <v>4</v>
      </c>
      <c r="F165" s="2">
        <v>688.36630934150071</v>
      </c>
      <c r="G165" s="2">
        <v>720.50170212765954</v>
      </c>
      <c r="H165" s="2">
        <v>886.40637059724338</v>
      </c>
      <c r="I165" s="2">
        <v>954.14323404255299</v>
      </c>
      <c r="J165" s="2">
        <v>1574.7726799387442</v>
      </c>
      <c r="K165" s="2">
        <v>1674.6449361702125</v>
      </c>
      <c r="L165" s="2">
        <v>32.135392786158832</v>
      </c>
      <c r="M165" s="2">
        <v>99.872256231468327</v>
      </c>
      <c r="N165" s="2">
        <v>3.7443</v>
      </c>
      <c r="O165" s="2">
        <v>41.623000000000005</v>
      </c>
      <c r="P165" s="2">
        <v>1.2225999999999999</v>
      </c>
      <c r="Q165" s="2">
        <v>28.508199999999999</v>
      </c>
      <c r="R165" s="2">
        <v>34.900199999999998</v>
      </c>
      <c r="S165" s="2">
        <v>55.7104</v>
      </c>
      <c r="T165" s="2">
        <v>214.87460000000002</v>
      </c>
      <c r="U165" s="2">
        <v>200.3972</v>
      </c>
      <c r="V165" s="2">
        <v>178.36439999999999</v>
      </c>
      <c r="W165" s="2">
        <v>186.44980000000001</v>
      </c>
      <c r="X165" s="2">
        <v>56.933</v>
      </c>
      <c r="Y165" s="2">
        <v>76.12</v>
      </c>
      <c r="Z165" s="2">
        <v>51.26</v>
      </c>
      <c r="AA165" s="2">
        <v>14.14</v>
      </c>
      <c r="AB165" s="2">
        <v>8.2200000000000006</v>
      </c>
      <c r="AC165" s="2">
        <v>2.23</v>
      </c>
      <c r="AD165" s="2">
        <v>47.61</v>
      </c>
      <c r="AE165" s="2">
        <v>15.34</v>
      </c>
      <c r="AF165" s="2">
        <v>63</v>
      </c>
      <c r="AG165" s="2">
        <v>38.5</v>
      </c>
      <c r="AH165" s="2">
        <v>24.4</v>
      </c>
      <c r="AI165" s="2">
        <v>10.07</v>
      </c>
      <c r="AJ165" s="2">
        <v>3.1</v>
      </c>
      <c r="AK165" s="2">
        <v>2.069</v>
      </c>
      <c r="AL165" s="2">
        <v>1.9450000000000001</v>
      </c>
      <c r="AM165" s="2">
        <v>0.96299999999999997</v>
      </c>
      <c r="AN165" s="2">
        <v>0.94</v>
      </c>
      <c r="AO165" s="2">
        <v>4.0259999999999998</v>
      </c>
      <c r="AP165" s="2">
        <v>0.92900000000000005</v>
      </c>
      <c r="AQ165" s="2">
        <v>0.96399999999999997</v>
      </c>
      <c r="AR165" s="2">
        <v>3.1349999999999998</v>
      </c>
      <c r="AS165" s="2">
        <v>36.78</v>
      </c>
      <c r="AT165" s="2">
        <v>672.1</v>
      </c>
      <c r="AU165" s="2">
        <v>1.054</v>
      </c>
      <c r="AV165" s="2">
        <v>1.0900000000000001</v>
      </c>
      <c r="AW165" s="2">
        <v>9.9000000000000005E-2</v>
      </c>
      <c r="AX165" s="2">
        <v>0.28499999999999998</v>
      </c>
      <c r="AY165" s="2">
        <v>0.61599999999999999</v>
      </c>
      <c r="AZ165" s="2">
        <v>0.6</v>
      </c>
      <c r="BA165" s="2">
        <v>0.84</v>
      </c>
      <c r="BB165" s="2">
        <v>13.8</v>
      </c>
      <c r="BC165" s="2">
        <v>92</v>
      </c>
      <c r="BD165" s="2">
        <v>1.1000000000000001</v>
      </c>
      <c r="BE165" s="2">
        <v>6.4</v>
      </c>
      <c r="BF165" s="2">
        <v>41</v>
      </c>
      <c r="BG165" s="2">
        <v>427</v>
      </c>
      <c r="BH165" s="2">
        <v>1640</v>
      </c>
      <c r="BI165" s="2">
        <v>407</v>
      </c>
      <c r="BJ165" s="2">
        <v>12</v>
      </c>
      <c r="BK165" s="2">
        <v>156.19999999999999</v>
      </c>
      <c r="BL165" s="2">
        <v>25.6</v>
      </c>
      <c r="BM165" s="2">
        <v>3</v>
      </c>
      <c r="BN165" s="2">
        <v>0</v>
      </c>
      <c r="BO165" s="2">
        <v>1.0900000000000001</v>
      </c>
      <c r="BP165" s="2">
        <v>8.1999999999999993</v>
      </c>
      <c r="BQ165" s="2">
        <v>3.35</v>
      </c>
    </row>
    <row r="166" spans="1:69" x14ac:dyDescent="0.2">
      <c r="A166">
        <v>20</v>
      </c>
      <c r="B166">
        <v>219</v>
      </c>
      <c r="C166" t="s">
        <v>23</v>
      </c>
      <c r="D166" t="s">
        <v>5</v>
      </c>
      <c r="E166">
        <v>3</v>
      </c>
      <c r="F166" s="2">
        <v>797.02665869695159</v>
      </c>
      <c r="G166" s="2">
        <v>744.51457286432162</v>
      </c>
      <c r="H166" s="2">
        <v>976.62814106395695</v>
      </c>
      <c r="I166" s="2">
        <v>1132.9423115577888</v>
      </c>
      <c r="J166" s="2">
        <v>1773.6547997609086</v>
      </c>
      <c r="K166" s="2">
        <v>1877.4568844221103</v>
      </c>
      <c r="L166" s="2">
        <v>-52.512085832629964</v>
      </c>
      <c r="M166" s="2">
        <v>103.80208466120166</v>
      </c>
      <c r="N166" s="2">
        <v>3.4643000000000002</v>
      </c>
      <c r="O166" s="2">
        <v>44.061999999999998</v>
      </c>
      <c r="P166" s="2">
        <v>0.64680000000000004</v>
      </c>
      <c r="Q166" s="2">
        <v>10.405000000000001</v>
      </c>
      <c r="R166" s="2">
        <v>7.8750000000000009</v>
      </c>
      <c r="S166" s="2">
        <v>47.197600000000001</v>
      </c>
      <c r="T166" s="2">
        <v>257.6046</v>
      </c>
      <c r="U166" s="2">
        <v>275.39460000000003</v>
      </c>
      <c r="V166" s="2">
        <v>235.42520000000002</v>
      </c>
      <c r="W166" s="2">
        <v>220.16519999999997</v>
      </c>
      <c r="X166" s="2">
        <v>47.8444</v>
      </c>
      <c r="Y166" s="2">
        <v>75.16</v>
      </c>
      <c r="Z166" s="2">
        <v>48.33</v>
      </c>
      <c r="AA166" s="2">
        <v>14.81</v>
      </c>
      <c r="AB166" s="2">
        <v>9.19</v>
      </c>
      <c r="AC166" s="2">
        <v>2.54</v>
      </c>
      <c r="AD166" s="2">
        <v>39.61</v>
      </c>
      <c r="AE166" s="2">
        <v>18.72</v>
      </c>
      <c r="AF166" s="2">
        <v>58.3</v>
      </c>
      <c r="AG166" s="2">
        <v>38.1</v>
      </c>
      <c r="AH166" s="2">
        <v>20.3</v>
      </c>
      <c r="AI166" s="2">
        <v>13.03</v>
      </c>
      <c r="AJ166" s="2">
        <v>3.8</v>
      </c>
      <c r="AK166" s="2">
        <v>1.9910000000000001</v>
      </c>
      <c r="AL166" s="2">
        <v>1.6990000000000001</v>
      </c>
      <c r="AM166" s="2">
        <v>0.92400000000000004</v>
      </c>
      <c r="AN166" s="2">
        <v>0.85299999999999998</v>
      </c>
      <c r="AO166" s="2">
        <v>3.3820000000000001</v>
      </c>
      <c r="AP166" s="2">
        <v>0.82</v>
      </c>
      <c r="AQ166" s="2">
        <v>0.95099999999999996</v>
      </c>
      <c r="AR166" s="2">
        <v>2.778</v>
      </c>
      <c r="AS166" s="2">
        <v>38.840000000000003</v>
      </c>
      <c r="AT166" s="2">
        <v>688.6</v>
      </c>
      <c r="AU166" s="2">
        <v>0.53700000000000003</v>
      </c>
      <c r="AV166" s="2">
        <v>13.77</v>
      </c>
      <c r="AW166" s="2">
        <v>0.22800000000000001</v>
      </c>
      <c r="AX166" s="2">
        <v>0.38300000000000001</v>
      </c>
      <c r="AY166" s="2">
        <v>0.38900000000000001</v>
      </c>
      <c r="AZ166" s="2">
        <v>0.41</v>
      </c>
      <c r="BA166" s="2">
        <v>0.79</v>
      </c>
      <c r="BB166" s="2">
        <v>12.4</v>
      </c>
      <c r="BC166" s="2">
        <v>88</v>
      </c>
      <c r="BD166" s="2">
        <v>1.5</v>
      </c>
      <c r="BE166" s="2">
        <v>5.8</v>
      </c>
      <c r="BF166" s="2">
        <v>13</v>
      </c>
      <c r="BG166" s="2">
        <v>167</v>
      </c>
      <c r="BH166" s="2">
        <v>1410</v>
      </c>
      <c r="BI166" s="2">
        <v>416</v>
      </c>
      <c r="BJ166" s="2">
        <v>15</v>
      </c>
      <c r="BK166" s="2">
        <v>188.3</v>
      </c>
      <c r="BL166" s="2">
        <v>4.2</v>
      </c>
      <c r="BM166" s="2">
        <v>4.0999999999999996</v>
      </c>
      <c r="BN166" s="2">
        <v>0</v>
      </c>
      <c r="BO166" s="2">
        <v>0.43</v>
      </c>
      <c r="BP166" s="2">
        <v>7.05</v>
      </c>
      <c r="BQ166" s="2">
        <v>3.42</v>
      </c>
    </row>
    <row r="167" spans="1:69" x14ac:dyDescent="0.2">
      <c r="A167">
        <v>10</v>
      </c>
      <c r="B167">
        <v>234</v>
      </c>
      <c r="C167" t="s">
        <v>23</v>
      </c>
      <c r="D167" t="s">
        <v>7</v>
      </c>
      <c r="E167">
        <v>4</v>
      </c>
      <c r="F167" s="2">
        <v>297.97510608203652</v>
      </c>
      <c r="G167" s="2">
        <v>383.52729338256182</v>
      </c>
      <c r="H167" s="2">
        <v>750.29702970297024</v>
      </c>
      <c r="I167" s="2">
        <v>611.66361829025823</v>
      </c>
      <c r="J167" s="2">
        <v>1048.2721357850069</v>
      </c>
      <c r="K167" s="2">
        <v>995.19091167281999</v>
      </c>
      <c r="L167" s="2">
        <v>85.552187300525304</v>
      </c>
      <c r="M167" s="2">
        <v>-53.081224112186874</v>
      </c>
      <c r="N167" s="2">
        <v>2.1907999999999999</v>
      </c>
      <c r="O167" s="2">
        <v>23.866</v>
      </c>
      <c r="P167" s="2">
        <v>1.2087999999999999</v>
      </c>
      <c r="Q167" s="2">
        <v>31.417819148936172</v>
      </c>
      <c r="R167" s="2">
        <v>40.147225130890057</v>
      </c>
      <c r="S167" s="2">
        <v>37.5366</v>
      </c>
      <c r="T167" s="2">
        <v>60.167021276595747</v>
      </c>
      <c r="U167" s="2">
        <v>60.221989528795817</v>
      </c>
      <c r="V167" s="2">
        <v>61.62381465968587</v>
      </c>
      <c r="W167" s="2">
        <v>52.839440425531926</v>
      </c>
      <c r="X167" s="2">
        <v>38.745399999999997</v>
      </c>
      <c r="Y167" s="2">
        <v>87.26</v>
      </c>
      <c r="Z167" s="2">
        <v>54.95</v>
      </c>
      <c r="AA167" s="2">
        <v>18.559999999999999</v>
      </c>
      <c r="AB167" s="2">
        <v>10.65</v>
      </c>
      <c r="AC167" s="2">
        <v>2.81</v>
      </c>
      <c r="AD167" s="2">
        <v>19.34</v>
      </c>
      <c r="AE167" s="2">
        <v>19.77</v>
      </c>
      <c r="AF167" s="2">
        <v>39.1</v>
      </c>
      <c r="AG167" s="2">
        <v>44.2</v>
      </c>
      <c r="AH167" s="2">
        <v>-5.0999999999999996</v>
      </c>
      <c r="AI167" s="2">
        <v>38.19</v>
      </c>
      <c r="AJ167" s="2">
        <v>9.9600000000000009</v>
      </c>
      <c r="AK167" s="2">
        <v>1.9630000000000001</v>
      </c>
      <c r="AL167" s="2">
        <v>0.84799999999999998</v>
      </c>
      <c r="AM167" s="2">
        <v>0.53200000000000003</v>
      </c>
      <c r="AN167" s="2">
        <v>0.432</v>
      </c>
      <c r="AO167" s="2">
        <v>1.665</v>
      </c>
      <c r="AP167" s="2">
        <v>0.35199999999999998</v>
      </c>
      <c r="AQ167" s="2">
        <v>1.105</v>
      </c>
      <c r="AR167" s="2">
        <v>1.651</v>
      </c>
      <c r="AS167" s="2">
        <v>18.75</v>
      </c>
      <c r="AT167" s="2">
        <v>199.8</v>
      </c>
      <c r="AU167" s="2">
        <v>1.2509999999999999</v>
      </c>
      <c r="AV167" s="2">
        <v>2.19</v>
      </c>
      <c r="AW167" s="2">
        <v>0.35799999999999998</v>
      </c>
      <c r="AX167" s="2">
        <v>0.27</v>
      </c>
      <c r="AY167" s="2">
        <v>0.373</v>
      </c>
      <c r="AZ167" s="2">
        <v>0.18</v>
      </c>
      <c r="BA167" s="2">
        <v>0.98</v>
      </c>
      <c r="BB167" s="2">
        <v>12.8</v>
      </c>
      <c r="BC167" s="2">
        <v>95</v>
      </c>
      <c r="BD167" s="2">
        <v>0.7</v>
      </c>
      <c r="BE167" s="2">
        <v>6.9</v>
      </c>
      <c r="BF167" s="2">
        <v>284</v>
      </c>
      <c r="BG167" s="2">
        <v>164</v>
      </c>
      <c r="BH167" s="2">
        <v>2054</v>
      </c>
      <c r="BI167" s="2">
        <v>177</v>
      </c>
      <c r="BJ167" s="2">
        <v>13</v>
      </c>
      <c r="BK167" s="2">
        <v>273</v>
      </c>
      <c r="BL167" s="2">
        <v>14.3</v>
      </c>
      <c r="BM167" s="2">
        <v>4.9000000000000004</v>
      </c>
      <c r="BN167" s="2">
        <v>0.1</v>
      </c>
      <c r="BO167" s="2">
        <v>0.42</v>
      </c>
      <c r="BP167" s="2">
        <v>10.27</v>
      </c>
      <c r="BQ167" s="2">
        <v>1.46</v>
      </c>
    </row>
    <row r="168" spans="1:69" x14ac:dyDescent="0.2">
      <c r="A168">
        <v>20</v>
      </c>
      <c r="B168">
        <v>257</v>
      </c>
      <c r="C168" t="s">
        <v>23</v>
      </c>
      <c r="D168" t="s">
        <v>5</v>
      </c>
      <c r="E168">
        <v>2</v>
      </c>
      <c r="F168" s="2">
        <v>751.41852631578968</v>
      </c>
      <c r="G168" s="2">
        <v>668.73896907216522</v>
      </c>
      <c r="H168" s="2">
        <v>992.3191578947368</v>
      </c>
      <c r="I168" s="2">
        <v>878.11051546391741</v>
      </c>
      <c r="J168" s="2">
        <v>1743.7376842105264</v>
      </c>
      <c r="K168" s="2">
        <v>1546.8494845360826</v>
      </c>
      <c r="L168" s="2">
        <v>-82.679557243624458</v>
      </c>
      <c r="M168" s="2">
        <v>-196.88819967444374</v>
      </c>
      <c r="N168" s="2">
        <v>3.2594000000000003</v>
      </c>
      <c r="O168" s="2">
        <v>48.177999999999997</v>
      </c>
      <c r="P168" s="2">
        <v>0.88260000000000005</v>
      </c>
      <c r="Q168" s="2">
        <v>2.9670000000000001</v>
      </c>
      <c r="R168" s="2">
        <v>3.1649999999999996</v>
      </c>
      <c r="S168" s="2">
        <v>41.305599999999998</v>
      </c>
      <c r="T168" s="2">
        <v>179.00479999999999</v>
      </c>
      <c r="U168" s="2">
        <v>179.4992</v>
      </c>
      <c r="V168" s="2">
        <v>140.476</v>
      </c>
      <c r="W168" s="2">
        <v>139.78360000000001</v>
      </c>
      <c r="X168" s="2">
        <v>42.188199999999995</v>
      </c>
      <c r="Y168" s="2">
        <v>74.56</v>
      </c>
      <c r="Z168" s="2">
        <v>50.82</v>
      </c>
      <c r="AA168" s="2">
        <v>14.47</v>
      </c>
      <c r="AB168" s="2">
        <v>6.96</v>
      </c>
      <c r="AC168" s="2">
        <v>2.0299999999999998</v>
      </c>
      <c r="AD168" s="2">
        <v>44.44</v>
      </c>
      <c r="AE168" s="2">
        <v>17.170000000000002</v>
      </c>
      <c r="AF168" s="2">
        <v>61.6</v>
      </c>
      <c r="AG168" s="2">
        <v>37.799999999999997</v>
      </c>
      <c r="AH168" s="2">
        <v>23.9</v>
      </c>
      <c r="AI168" s="2">
        <v>9.4499999999999993</v>
      </c>
      <c r="AJ168" s="2">
        <v>3.5</v>
      </c>
      <c r="AK168" s="2">
        <v>2.0960000000000001</v>
      </c>
      <c r="AL168" s="2">
        <v>1.8779999999999999</v>
      </c>
      <c r="AM168" s="2">
        <v>0.94399999999999995</v>
      </c>
      <c r="AN168" s="2">
        <v>0.89600000000000002</v>
      </c>
      <c r="AO168" s="2">
        <v>3.9359999999999999</v>
      </c>
      <c r="AP168" s="2">
        <v>0.874</v>
      </c>
      <c r="AQ168" s="2">
        <v>0.94399999999999995</v>
      </c>
      <c r="AR168" s="2">
        <v>2.552</v>
      </c>
      <c r="AS168" s="2">
        <v>42.46</v>
      </c>
      <c r="AT168" s="2">
        <v>840.6</v>
      </c>
      <c r="AU168" s="2">
        <v>0.89900000000000002</v>
      </c>
      <c r="AV168" s="2">
        <v>0.85</v>
      </c>
      <c r="AW168" s="2">
        <v>0.16300000000000001</v>
      </c>
      <c r="AX168" s="2">
        <v>0.28299999999999997</v>
      </c>
      <c r="AY168" s="2">
        <v>0.55400000000000005</v>
      </c>
      <c r="AZ168" s="2">
        <v>0.41</v>
      </c>
      <c r="BA168" s="2">
        <v>0.74</v>
      </c>
      <c r="BB168" s="2">
        <v>15.6</v>
      </c>
      <c r="BC168" s="2">
        <v>95</v>
      </c>
      <c r="BD168" s="2">
        <v>0.8</v>
      </c>
      <c r="BE168" s="2">
        <v>6.6</v>
      </c>
      <c r="BF168" s="2">
        <v>10</v>
      </c>
      <c r="BG168" s="2">
        <v>81</v>
      </c>
      <c r="BH168" s="2">
        <v>1928</v>
      </c>
      <c r="BI168" s="2">
        <v>608</v>
      </c>
      <c r="BJ168" s="2">
        <v>10</v>
      </c>
      <c r="BK168" s="2">
        <v>343.6</v>
      </c>
      <c r="BL168" s="2">
        <v>3</v>
      </c>
      <c r="BM168" s="2">
        <v>2.6</v>
      </c>
      <c r="BN168" s="2">
        <v>0</v>
      </c>
      <c r="BO168" s="2">
        <v>0.21</v>
      </c>
      <c r="BP168" s="2">
        <v>9.64</v>
      </c>
      <c r="BQ168" s="2">
        <v>5</v>
      </c>
    </row>
    <row r="169" spans="1:69" x14ac:dyDescent="0.2">
      <c r="A169">
        <v>20</v>
      </c>
      <c r="B169">
        <v>259</v>
      </c>
      <c r="C169" t="s">
        <v>23</v>
      </c>
      <c r="D169" t="s">
        <v>5</v>
      </c>
      <c r="E169">
        <v>4</v>
      </c>
      <c r="F169" s="2">
        <v>689.22877030162431</v>
      </c>
      <c r="G169" s="2">
        <v>622.79776536312852</v>
      </c>
      <c r="H169" s="2">
        <v>954.72250580046398</v>
      </c>
      <c r="I169" s="2">
        <v>987.82122905027927</v>
      </c>
      <c r="J169" s="2">
        <v>1643.9512761020883</v>
      </c>
      <c r="K169" s="2">
        <v>1610.6189944134078</v>
      </c>
      <c r="L169" s="2">
        <v>-66.431004938495789</v>
      </c>
      <c r="M169" s="2">
        <v>-33.332281688680496</v>
      </c>
      <c r="N169" s="2">
        <v>3.0836999999999999</v>
      </c>
      <c r="O169" s="2">
        <v>45.911000000000001</v>
      </c>
      <c r="P169" s="2">
        <v>0.77659999999999996</v>
      </c>
      <c r="Q169" s="2">
        <v>5.7834000000000003</v>
      </c>
      <c r="R169" s="2">
        <v>2.8805999999999998</v>
      </c>
      <c r="S169" s="2">
        <v>38.989600000000003</v>
      </c>
      <c r="T169" s="2">
        <v>221.70859999999999</v>
      </c>
      <c r="U169" s="2">
        <v>233.22660000000002</v>
      </c>
      <c r="V169" s="2">
        <v>196.34100000000001</v>
      </c>
      <c r="W169" s="2">
        <v>187.72579999999999</v>
      </c>
      <c r="X169" s="2">
        <v>39.766200000000005</v>
      </c>
      <c r="Y169" s="2">
        <v>73.44</v>
      </c>
      <c r="Z169" s="2">
        <v>48.25</v>
      </c>
      <c r="AA169" s="2">
        <v>14.96</v>
      </c>
      <c r="AB169" s="2">
        <v>8.23</v>
      </c>
      <c r="AC169" s="2">
        <v>1.68</v>
      </c>
      <c r="AD169" s="2">
        <v>38.51</v>
      </c>
      <c r="AE169" s="2">
        <v>16.46</v>
      </c>
      <c r="AF169" s="2">
        <v>55</v>
      </c>
      <c r="AG169" s="2">
        <v>37.200000000000003</v>
      </c>
      <c r="AH169" s="2">
        <v>17.8</v>
      </c>
      <c r="AI169" s="2">
        <v>14.09</v>
      </c>
      <c r="AJ169" s="2">
        <v>4.38</v>
      </c>
      <c r="AK169" s="2">
        <v>2.0339999999999998</v>
      </c>
      <c r="AL169" s="2">
        <v>1.6779999999999999</v>
      </c>
      <c r="AM169" s="2">
        <v>0.87</v>
      </c>
      <c r="AN169" s="2">
        <v>0.82499999999999996</v>
      </c>
      <c r="AO169" s="2">
        <v>3.4140000000000001</v>
      </c>
      <c r="AP169" s="2">
        <v>0.79800000000000004</v>
      </c>
      <c r="AQ169" s="2">
        <v>0.93</v>
      </c>
      <c r="AR169" s="2">
        <v>2.2320000000000002</v>
      </c>
      <c r="AS169" s="2">
        <v>34.86</v>
      </c>
      <c r="AT169" s="2">
        <v>655.4</v>
      </c>
      <c r="AU169" s="2">
        <v>0.98</v>
      </c>
      <c r="AV169" s="2">
        <v>0.7</v>
      </c>
      <c r="AW169" s="2">
        <v>0.38</v>
      </c>
      <c r="AX169" s="2">
        <v>0.217</v>
      </c>
      <c r="AY169" s="2">
        <v>0.40300000000000002</v>
      </c>
      <c r="AZ169" s="2">
        <v>0.32</v>
      </c>
      <c r="BA169" s="2">
        <v>0.75</v>
      </c>
      <c r="BB169" s="2">
        <v>8.6</v>
      </c>
      <c r="BC169" s="2">
        <v>84</v>
      </c>
      <c r="BD169" s="2">
        <v>1.4</v>
      </c>
      <c r="BE169" s="2">
        <v>5.7</v>
      </c>
      <c r="BF169" s="2">
        <v>7</v>
      </c>
      <c r="BG169" s="2">
        <v>141</v>
      </c>
      <c r="BH169" s="2">
        <v>1018</v>
      </c>
      <c r="BI169" s="2">
        <v>218</v>
      </c>
      <c r="BJ169" s="2">
        <v>13</v>
      </c>
      <c r="BK169" s="2">
        <v>123.2</v>
      </c>
      <c r="BL169" s="2">
        <v>2.1</v>
      </c>
      <c r="BM169" s="2">
        <v>2.4</v>
      </c>
      <c r="BN169" s="2">
        <v>0</v>
      </c>
      <c r="BO169" s="2">
        <v>0.36</v>
      </c>
      <c r="BP169" s="2">
        <v>5.09</v>
      </c>
      <c r="BQ169" s="2">
        <v>1.79</v>
      </c>
    </row>
    <row r="170" spans="1:69" x14ac:dyDescent="0.2">
      <c r="A170">
        <v>20</v>
      </c>
      <c r="B170">
        <v>43</v>
      </c>
      <c r="C170" t="s">
        <v>6</v>
      </c>
      <c r="D170" t="s">
        <v>0</v>
      </c>
      <c r="E170">
        <v>3</v>
      </c>
      <c r="F170" s="2">
        <v>192.43948623853217</v>
      </c>
      <c r="G170" s="2">
        <v>123.12417794971003</v>
      </c>
      <c r="H170" s="2">
        <v>266.96807339449538</v>
      </c>
      <c r="I170" s="2">
        <v>438.75203094777561</v>
      </c>
      <c r="J170" s="2">
        <v>459.40755963302752</v>
      </c>
      <c r="K170" s="2">
        <v>561.87620889748564</v>
      </c>
      <c r="L170" s="2">
        <v>-69.315308288822138</v>
      </c>
      <c r="M170" s="2">
        <v>102.46864926445812</v>
      </c>
      <c r="N170" s="2">
        <v>1.0009999999999999</v>
      </c>
      <c r="O170" s="2">
        <v>13.868</v>
      </c>
      <c r="P170" s="2">
        <v>0.43399999999999994</v>
      </c>
      <c r="Q170" s="2">
        <v>-0.16620000000000001</v>
      </c>
      <c r="R170" s="2">
        <v>2.7145999999999999</v>
      </c>
      <c r="S170" s="2">
        <v>9.0657999999999994</v>
      </c>
      <c r="T170" s="2">
        <v>24.933199999999999</v>
      </c>
      <c r="U170" s="2">
        <v>31.636599999999994</v>
      </c>
      <c r="V170" s="2">
        <v>24.851399999999991</v>
      </c>
      <c r="W170" s="2">
        <v>15.267200000000001</v>
      </c>
      <c r="X170" s="2">
        <v>9.4997999999999987</v>
      </c>
      <c r="Y170" s="2">
        <v>102.82</v>
      </c>
      <c r="Z170" s="2">
        <v>7.75</v>
      </c>
      <c r="AA170" s="2">
        <v>68.680000000000007</v>
      </c>
      <c r="AB170" s="2">
        <v>23.24</v>
      </c>
      <c r="AC170" s="2">
        <v>2.41</v>
      </c>
      <c r="AD170" s="2">
        <v>11.97</v>
      </c>
      <c r="AE170" s="2">
        <v>71.849999999999994</v>
      </c>
      <c r="AF170" s="2">
        <v>83.8</v>
      </c>
      <c r="AG170" s="2">
        <v>52.1</v>
      </c>
      <c r="AH170" s="2">
        <v>31.8</v>
      </c>
      <c r="AI170" s="2">
        <v>15.72</v>
      </c>
      <c r="AJ170" s="2">
        <v>3.28</v>
      </c>
      <c r="AK170" s="2">
        <v>0.66900000000000004</v>
      </c>
      <c r="AL170" s="2">
        <v>0.79600000000000004</v>
      </c>
      <c r="AM170" s="2">
        <v>1.097</v>
      </c>
      <c r="AN170" s="2">
        <v>1.1890000000000001</v>
      </c>
      <c r="AO170" s="2">
        <v>0.53200000000000003</v>
      </c>
      <c r="AP170" s="2">
        <v>1.5449999999999999</v>
      </c>
      <c r="AQ170" s="2">
        <v>1.302</v>
      </c>
      <c r="AR170" s="2">
        <v>0.95499999999999996</v>
      </c>
      <c r="AS170" s="2">
        <v>15.1</v>
      </c>
      <c r="AT170" s="2">
        <v>194.4</v>
      </c>
      <c r="AU170" s="2">
        <v>1.41</v>
      </c>
      <c r="AV170" s="2">
        <v>0.45</v>
      </c>
      <c r="AW170" s="2">
        <v>4.8000000000000001E-2</v>
      </c>
      <c r="AX170" s="2">
        <v>5.8000000000000003E-2</v>
      </c>
      <c r="AY170" s="2">
        <v>0.89400000000000002</v>
      </c>
      <c r="AZ170" s="2">
        <v>0.76</v>
      </c>
      <c r="BA170" s="2">
        <v>1.21</v>
      </c>
      <c r="BB170" s="2">
        <v>4.0999999999999996</v>
      </c>
      <c r="BC170" s="2">
        <v>44</v>
      </c>
      <c r="BD170" s="2">
        <v>2.2999999999999998</v>
      </c>
      <c r="BE170" s="2">
        <v>4.7</v>
      </c>
      <c r="BF170" s="2">
        <v>102</v>
      </c>
      <c r="BG170" s="2">
        <v>40</v>
      </c>
      <c r="BH170" s="2">
        <v>258</v>
      </c>
      <c r="BI170" s="2">
        <v>51</v>
      </c>
      <c r="BJ170" s="2">
        <v>22</v>
      </c>
      <c r="BK170" s="2">
        <v>25.1</v>
      </c>
      <c r="BL170" s="2">
        <v>5.9</v>
      </c>
      <c r="BM170" s="2">
        <v>0.8</v>
      </c>
      <c r="BN170" s="2">
        <v>0</v>
      </c>
      <c r="BO170" s="2">
        <v>0.1</v>
      </c>
      <c r="BP170" s="2">
        <v>1.29</v>
      </c>
      <c r="BQ170" s="2">
        <v>0.42</v>
      </c>
    </row>
    <row r="171" spans="1:69" x14ac:dyDescent="0.2">
      <c r="A171">
        <v>20</v>
      </c>
      <c r="B171">
        <v>55</v>
      </c>
      <c r="C171" t="s">
        <v>6</v>
      </c>
      <c r="D171" t="s">
        <v>7</v>
      </c>
      <c r="E171">
        <v>2</v>
      </c>
      <c r="F171" s="2">
        <v>121.16919077023078</v>
      </c>
      <c r="G171" s="2">
        <v>67.621338506304681</v>
      </c>
      <c r="H171" s="2">
        <v>92.600844978875486</v>
      </c>
      <c r="I171" s="2">
        <v>86.24170708050427</v>
      </c>
      <c r="J171" s="2">
        <v>213.77003574910628</v>
      </c>
      <c r="K171" s="2">
        <v>153.86304558680894</v>
      </c>
      <c r="L171" s="2">
        <v>-53.547852263926103</v>
      </c>
      <c r="M171" s="2">
        <v>-59.906990162297348</v>
      </c>
      <c r="N171" s="2">
        <v>0.27360000000000001</v>
      </c>
      <c r="O171" s="2">
        <v>3.2224999999999997</v>
      </c>
      <c r="P171" s="2">
        <v>0.20860000000000001</v>
      </c>
      <c r="Q171" s="2">
        <v>7.9799999999999982E-2</v>
      </c>
      <c r="R171" s="2">
        <v>3.1021999999999998</v>
      </c>
      <c r="S171" s="2">
        <v>4.0283999999999995</v>
      </c>
      <c r="T171" s="2">
        <v>6.8263999999999996</v>
      </c>
      <c r="U171" s="2">
        <v>8.9854000000000003</v>
      </c>
      <c r="V171" s="2">
        <v>7.8506000000000009</v>
      </c>
      <c r="W171" s="2">
        <v>2.6692</v>
      </c>
      <c r="X171" s="2">
        <v>4.2369999999999992</v>
      </c>
      <c r="Y171" s="2">
        <v>121.48</v>
      </c>
      <c r="Z171" s="2">
        <v>4.6900000000000004</v>
      </c>
      <c r="AA171" s="2">
        <v>88.7</v>
      </c>
      <c r="AB171" s="2">
        <v>24.46</v>
      </c>
      <c r="AC171" s="2">
        <v>2.95</v>
      </c>
      <c r="AD171" s="2">
        <v>5.76</v>
      </c>
      <c r="AE171" s="2">
        <v>95.15</v>
      </c>
      <c r="AF171" s="2">
        <v>100.9</v>
      </c>
      <c r="AG171" s="2">
        <v>61.5</v>
      </c>
      <c r="AH171" s="2">
        <v>39.4</v>
      </c>
      <c r="AI171" s="2">
        <v>14.85</v>
      </c>
      <c r="AJ171" s="2">
        <v>5.72</v>
      </c>
      <c r="AK171" s="2">
        <v>0.59899999999999998</v>
      </c>
      <c r="AL171" s="2">
        <v>0.64600000000000002</v>
      </c>
      <c r="AM171" s="2">
        <v>1.081</v>
      </c>
      <c r="AN171" s="2">
        <v>1.079</v>
      </c>
      <c r="AO171" s="2">
        <v>0.38700000000000001</v>
      </c>
      <c r="AP171" s="2">
        <v>1.228</v>
      </c>
      <c r="AQ171" s="2">
        <v>1.538</v>
      </c>
      <c r="AR171" s="2">
        <v>0.253</v>
      </c>
      <c r="AS171" s="2">
        <v>4.28</v>
      </c>
      <c r="AT171" s="2">
        <v>71.8</v>
      </c>
      <c r="AU171" s="2">
        <v>1.4059999999999999</v>
      </c>
      <c r="AV171" s="2">
        <v>0.08</v>
      </c>
      <c r="AW171" s="2">
        <v>3.4000000000000002E-2</v>
      </c>
      <c r="AX171" s="2">
        <v>4.7E-2</v>
      </c>
      <c r="AY171" s="2">
        <v>0.91900000000000004</v>
      </c>
      <c r="AZ171" s="2">
        <v>0.27</v>
      </c>
      <c r="BA171" s="2">
        <v>1.46</v>
      </c>
      <c r="BB171" s="2">
        <v>2.5</v>
      </c>
      <c r="BC171" s="2">
        <v>68</v>
      </c>
      <c r="BD171" s="2">
        <v>0.8</v>
      </c>
      <c r="BE171" s="2">
        <v>5.6</v>
      </c>
      <c r="BF171" s="2">
        <v>141</v>
      </c>
      <c r="BG171" s="2">
        <v>46</v>
      </c>
      <c r="BH171" s="2">
        <v>238</v>
      </c>
      <c r="BI171" s="2">
        <v>47</v>
      </c>
      <c r="BJ171" s="2">
        <v>8</v>
      </c>
      <c r="BK171" s="2">
        <v>8.6999999999999993</v>
      </c>
      <c r="BL171" s="2">
        <v>9</v>
      </c>
      <c r="BM171" s="2">
        <v>2.9</v>
      </c>
      <c r="BN171" s="2">
        <v>0</v>
      </c>
      <c r="BO171" s="2">
        <v>0.12</v>
      </c>
      <c r="BP171" s="2">
        <v>1.19</v>
      </c>
      <c r="BQ171" s="2">
        <v>0.39</v>
      </c>
    </row>
    <row r="172" spans="1:69" x14ac:dyDescent="0.2">
      <c r="A172">
        <v>20</v>
      </c>
      <c r="B172">
        <v>66</v>
      </c>
      <c r="C172" t="s">
        <v>6</v>
      </c>
      <c r="D172" t="s">
        <v>7</v>
      </c>
      <c r="E172">
        <v>3</v>
      </c>
      <c r="F172" s="2">
        <v>73.525226390685646</v>
      </c>
      <c r="G172" s="2">
        <v>64.897233201581059</v>
      </c>
      <c r="H172" s="2">
        <v>159.79482535575667</v>
      </c>
      <c r="I172" s="2">
        <v>104.83399209486173</v>
      </c>
      <c r="J172" s="2">
        <v>233.32005174644232</v>
      </c>
      <c r="K172" s="2">
        <v>169.7312252964428</v>
      </c>
      <c r="L172" s="2">
        <v>-8.6279931891045862</v>
      </c>
      <c r="M172" s="2">
        <v>-63.588826449999516</v>
      </c>
      <c r="N172" s="2">
        <v>0.45130000000000003</v>
      </c>
      <c r="O172" s="2">
        <v>6.1853999999999996</v>
      </c>
      <c r="P172" s="2">
        <v>0.28760000000000002</v>
      </c>
      <c r="Q172" s="2">
        <v>1.149</v>
      </c>
      <c r="R172" s="2">
        <v>4.2313999999999998</v>
      </c>
      <c r="S172" s="2">
        <v>4.5440000000000005</v>
      </c>
      <c r="T172" s="2">
        <v>11.934799999999999</v>
      </c>
      <c r="U172" s="2">
        <v>10.323400000000001</v>
      </c>
      <c r="V172" s="2">
        <v>9.7231999999999985</v>
      </c>
      <c r="W172" s="2">
        <v>8.2521999999999984</v>
      </c>
      <c r="X172" s="2">
        <v>4.8316000000000008</v>
      </c>
      <c r="Y172" s="2">
        <v>118.37</v>
      </c>
      <c r="Z172" s="2">
        <v>4.87</v>
      </c>
      <c r="AA172" s="2">
        <v>89.18</v>
      </c>
      <c r="AB172" s="2">
        <v>21.16</v>
      </c>
      <c r="AC172" s="2">
        <v>2.59</v>
      </c>
      <c r="AD172" s="2">
        <v>5.87</v>
      </c>
      <c r="AE172" s="2">
        <v>102.69</v>
      </c>
      <c r="AF172" s="2">
        <v>108.6</v>
      </c>
      <c r="AG172" s="2">
        <v>59.9</v>
      </c>
      <c r="AH172" s="2">
        <v>48.6</v>
      </c>
      <c r="AI172" s="2">
        <v>5.69</v>
      </c>
      <c r="AJ172" s="2">
        <v>4.12</v>
      </c>
      <c r="AK172" s="2">
        <v>0.61699999999999999</v>
      </c>
      <c r="AL172" s="2">
        <v>0.69299999999999995</v>
      </c>
      <c r="AM172" s="2">
        <v>1.1539999999999999</v>
      </c>
      <c r="AN172" s="2">
        <v>1.123</v>
      </c>
      <c r="AO172" s="2">
        <v>0.42799999999999999</v>
      </c>
      <c r="AP172" s="2">
        <v>1.2050000000000001</v>
      </c>
      <c r="AQ172" s="2">
        <v>1.498</v>
      </c>
      <c r="AR172" s="2">
        <v>0.4</v>
      </c>
      <c r="AS172" s="2">
        <v>7.31</v>
      </c>
      <c r="AT172" s="2">
        <v>92.7</v>
      </c>
      <c r="AU172" s="2">
        <v>1.323</v>
      </c>
      <c r="AV172" s="2">
        <v>0.23</v>
      </c>
      <c r="AW172" s="2">
        <v>5.8999999999999997E-2</v>
      </c>
      <c r="AX172" s="2">
        <v>3.5999999999999997E-2</v>
      </c>
      <c r="AY172" s="2">
        <v>0.90400000000000003</v>
      </c>
      <c r="AZ172" s="2">
        <v>0.6</v>
      </c>
      <c r="BA172" s="2">
        <v>1.37</v>
      </c>
      <c r="BB172" s="2">
        <v>4.0999999999999996</v>
      </c>
      <c r="BC172" s="2">
        <v>79</v>
      </c>
      <c r="BD172" s="2">
        <v>0.8</v>
      </c>
      <c r="BE172" s="2">
        <v>5.9</v>
      </c>
      <c r="BF172" s="2">
        <v>195</v>
      </c>
      <c r="BG172" s="2">
        <v>61</v>
      </c>
      <c r="BH172" s="2">
        <v>457</v>
      </c>
      <c r="BI172" s="2">
        <v>93</v>
      </c>
      <c r="BJ172" s="2">
        <v>10</v>
      </c>
      <c r="BK172" s="2">
        <v>10.3</v>
      </c>
      <c r="BL172" s="2">
        <v>13.7</v>
      </c>
      <c r="BM172" s="2">
        <v>2</v>
      </c>
      <c r="BN172" s="2">
        <v>0</v>
      </c>
      <c r="BO172" s="2">
        <v>0.16</v>
      </c>
      <c r="BP172" s="2">
        <v>2.29</v>
      </c>
      <c r="BQ172" s="2">
        <v>0.76</v>
      </c>
    </row>
    <row r="173" spans="1:69" x14ac:dyDescent="0.2">
      <c r="A173">
        <v>20</v>
      </c>
      <c r="B173">
        <v>71</v>
      </c>
      <c r="C173" t="s">
        <v>6</v>
      </c>
      <c r="D173" t="s">
        <v>5</v>
      </c>
      <c r="E173">
        <v>1</v>
      </c>
      <c r="F173" s="2">
        <v>191.40134348410211</v>
      </c>
      <c r="G173" s="2">
        <v>212.47316466196614</v>
      </c>
      <c r="H173" s="2">
        <v>541.62507836990596</v>
      </c>
      <c r="I173" s="2">
        <v>665.07872252177526</v>
      </c>
      <c r="J173" s="2">
        <v>733.02642185400805</v>
      </c>
      <c r="K173" s="2">
        <v>877.55188718374143</v>
      </c>
      <c r="L173" s="2">
        <v>21.071821177864024</v>
      </c>
      <c r="M173" s="2">
        <v>144.52546532973338</v>
      </c>
      <c r="N173" s="2">
        <v>1.5181</v>
      </c>
      <c r="O173" s="2">
        <v>34.485999999999997</v>
      </c>
      <c r="P173" s="2">
        <v>0.92180000000000006</v>
      </c>
      <c r="Q173" s="2">
        <v>0.94259999999999999</v>
      </c>
      <c r="R173" s="2">
        <v>5.6029999999999998</v>
      </c>
      <c r="S173" s="2">
        <v>20.360399999999998</v>
      </c>
      <c r="T173" s="2">
        <v>57.897200000000005</v>
      </c>
      <c r="U173" s="2">
        <v>74.424999999999997</v>
      </c>
      <c r="V173" s="2">
        <v>58.745799999999988</v>
      </c>
      <c r="W173" s="2">
        <v>37.557600000000008</v>
      </c>
      <c r="X173" s="2">
        <v>21.2822</v>
      </c>
      <c r="Y173" s="2">
        <v>91.18</v>
      </c>
      <c r="Z173" s="2">
        <v>20.440000000000001</v>
      </c>
      <c r="AA173" s="2">
        <v>48.67</v>
      </c>
      <c r="AB173" s="2">
        <v>18.39</v>
      </c>
      <c r="AC173" s="2">
        <v>3.05</v>
      </c>
      <c r="AD173" s="2">
        <v>21.2</v>
      </c>
      <c r="AE173" s="2">
        <v>53.71</v>
      </c>
      <c r="AF173" s="2">
        <v>74.900000000000006</v>
      </c>
      <c r="AG173" s="2">
        <v>46.2</v>
      </c>
      <c r="AH173" s="2">
        <v>28.7</v>
      </c>
      <c r="AI173" s="2">
        <v>12.5</v>
      </c>
      <c r="AJ173" s="2">
        <v>3.77</v>
      </c>
      <c r="AK173" s="2">
        <v>1.01</v>
      </c>
      <c r="AL173" s="2">
        <v>1.0589999999999999</v>
      </c>
      <c r="AM173" s="2">
        <v>1.0840000000000001</v>
      </c>
      <c r="AN173" s="2">
        <v>1.048</v>
      </c>
      <c r="AO173" s="2">
        <v>1.069</v>
      </c>
      <c r="AP173" s="2">
        <v>1.0369999999999999</v>
      </c>
      <c r="AQ173" s="2">
        <v>1.1539999999999999</v>
      </c>
      <c r="AR173" s="2">
        <v>1.4930000000000001</v>
      </c>
      <c r="AS173" s="2">
        <v>34.46</v>
      </c>
      <c r="AT173" s="2">
        <v>287.8</v>
      </c>
      <c r="AU173" s="2">
        <v>1.115</v>
      </c>
      <c r="AV173" s="2">
        <v>24.12</v>
      </c>
      <c r="AW173" s="2">
        <v>0.08</v>
      </c>
      <c r="AX173" s="2">
        <v>0.10100000000000001</v>
      </c>
      <c r="AY173" s="2">
        <v>0.81899999999999995</v>
      </c>
      <c r="AZ173" s="2">
        <v>1.43</v>
      </c>
      <c r="BA173" s="2">
        <v>1.02</v>
      </c>
      <c r="BB173" s="2">
        <v>5</v>
      </c>
      <c r="BC173" s="2">
        <v>34</v>
      </c>
      <c r="BD173" s="2">
        <v>3.3</v>
      </c>
      <c r="BE173" s="2">
        <v>4.5</v>
      </c>
      <c r="BF173" s="2">
        <v>20</v>
      </c>
      <c r="BG173" s="2">
        <v>39</v>
      </c>
      <c r="BH173" s="2">
        <v>231</v>
      </c>
      <c r="BI173" s="2">
        <v>52</v>
      </c>
      <c r="BJ173" s="2">
        <v>20</v>
      </c>
      <c r="BK173" s="2">
        <v>13.4</v>
      </c>
      <c r="BL173" s="2">
        <v>2.1</v>
      </c>
      <c r="BM173" s="2">
        <v>0.6</v>
      </c>
      <c r="BN173" s="2">
        <v>0</v>
      </c>
      <c r="BO173" s="2">
        <v>0.1</v>
      </c>
      <c r="BP173" s="2">
        <v>1.1599999999999999</v>
      </c>
      <c r="BQ173" s="2">
        <v>0.43</v>
      </c>
    </row>
    <row r="174" spans="1:69" x14ac:dyDescent="0.2">
      <c r="A174">
        <v>20</v>
      </c>
      <c r="B174">
        <v>90</v>
      </c>
      <c r="C174" t="s">
        <v>6</v>
      </c>
      <c r="D174" t="s">
        <v>0</v>
      </c>
      <c r="E174">
        <v>4</v>
      </c>
      <c r="F174" s="2">
        <v>144.17808219178079</v>
      </c>
      <c r="G174" s="2">
        <v>248.52720411663813</v>
      </c>
      <c r="H174" s="2">
        <v>348.33424657534238</v>
      </c>
      <c r="I174" s="2">
        <v>488.73550600343054</v>
      </c>
      <c r="J174" s="2">
        <v>492.51232876712317</v>
      </c>
      <c r="K174" s="2">
        <v>737.26271012006873</v>
      </c>
      <c r="L174" s="2">
        <v>104.34912192485734</v>
      </c>
      <c r="M174" s="2">
        <v>244.75038135294557</v>
      </c>
      <c r="N174" s="2">
        <v>1.3347</v>
      </c>
      <c r="O174" s="2">
        <v>22.265999999999998</v>
      </c>
      <c r="P174" s="2">
        <v>0.76180000000000003</v>
      </c>
      <c r="Q174" s="2">
        <v>24.094200000000001</v>
      </c>
      <c r="R174" s="2">
        <v>35.940200000000004</v>
      </c>
      <c r="S174" s="2">
        <v>2.355</v>
      </c>
      <c r="T174" s="2">
        <v>2.75</v>
      </c>
      <c r="U174" s="2">
        <v>4.7230000000000008</v>
      </c>
      <c r="V174" s="2">
        <v>37.546400000000006</v>
      </c>
      <c r="W174" s="2">
        <v>23.727399999999999</v>
      </c>
      <c r="X174" s="2">
        <v>3.1168</v>
      </c>
      <c r="Y174" s="2">
        <v>107.49</v>
      </c>
      <c r="Z174" s="2">
        <v>12.15</v>
      </c>
      <c r="AA174" s="2">
        <v>68.8</v>
      </c>
      <c r="AB174" s="2">
        <v>21.77</v>
      </c>
      <c r="AC174" s="2">
        <v>4.1100000000000003</v>
      </c>
      <c r="AD174" s="2">
        <v>15.02</v>
      </c>
      <c r="AE174" s="2">
        <v>74.69</v>
      </c>
      <c r="AF174" s="2">
        <v>89.7</v>
      </c>
      <c r="AG174" s="2">
        <v>54.4</v>
      </c>
      <c r="AH174" s="2">
        <v>35.299999999999997</v>
      </c>
      <c r="AI174" s="2">
        <v>12.66</v>
      </c>
      <c r="AJ174" s="2">
        <v>5.12</v>
      </c>
      <c r="AK174" s="2">
        <v>0.75700000000000001</v>
      </c>
      <c r="AL174" s="2">
        <v>0.85499999999999998</v>
      </c>
      <c r="AM174" s="2">
        <v>1.1080000000000001</v>
      </c>
      <c r="AN174" s="2">
        <v>1.1299999999999999</v>
      </c>
      <c r="AO174" s="2">
        <v>0.64700000000000002</v>
      </c>
      <c r="AP174" s="2">
        <v>1.236</v>
      </c>
      <c r="AQ174" s="2">
        <v>1.361</v>
      </c>
      <c r="AR174" s="2">
        <v>1.1319999999999999</v>
      </c>
      <c r="AS174" s="2">
        <v>25.01</v>
      </c>
      <c r="AT174" s="2">
        <v>161.5</v>
      </c>
      <c r="AU174" s="2">
        <v>1.347</v>
      </c>
      <c r="AV174" s="2">
        <v>4.42</v>
      </c>
      <c r="AW174" s="2">
        <v>3.2000000000000001E-2</v>
      </c>
      <c r="AX174" s="2">
        <v>0.09</v>
      </c>
      <c r="AY174" s="2">
        <v>0.878</v>
      </c>
      <c r="AZ174" s="2">
        <v>0.27</v>
      </c>
      <c r="BA174" s="2">
        <v>1.27</v>
      </c>
      <c r="BB174" s="2">
        <v>10.1</v>
      </c>
      <c r="BC174" s="2">
        <v>98</v>
      </c>
      <c r="BD174" s="2">
        <v>0.2</v>
      </c>
      <c r="BE174" s="2">
        <v>7.1</v>
      </c>
      <c r="BF174" s="2">
        <v>94</v>
      </c>
      <c r="BG174" s="2">
        <v>44</v>
      </c>
      <c r="BH174" s="2">
        <v>1306</v>
      </c>
      <c r="BI174" s="2">
        <v>405</v>
      </c>
      <c r="BJ174" s="2">
        <v>9</v>
      </c>
      <c r="BK174" s="2">
        <v>17.5</v>
      </c>
      <c r="BL174" s="2">
        <v>114.6</v>
      </c>
      <c r="BM174" s="2">
        <v>3.9</v>
      </c>
      <c r="BN174" s="2">
        <v>0</v>
      </c>
      <c r="BO174" s="2">
        <v>0.11</v>
      </c>
      <c r="BP174" s="2">
        <v>6.53</v>
      </c>
      <c r="BQ174" s="2">
        <v>3.33</v>
      </c>
    </row>
    <row r="175" spans="1:69" x14ac:dyDescent="0.2">
      <c r="A175">
        <v>20</v>
      </c>
      <c r="B175">
        <v>161</v>
      </c>
      <c r="C175" t="s">
        <v>6</v>
      </c>
      <c r="D175" t="s">
        <v>0</v>
      </c>
      <c r="E175">
        <v>1</v>
      </c>
      <c r="F175" s="2">
        <v>209.16398523985248</v>
      </c>
      <c r="G175" s="2">
        <v>244.02483026188176</v>
      </c>
      <c r="H175" s="2">
        <v>265.09018450184504</v>
      </c>
      <c r="I175" s="2">
        <v>402.78797284190102</v>
      </c>
      <c r="J175" s="2">
        <v>474.25416974169752</v>
      </c>
      <c r="K175" s="2">
        <v>646.81280310378281</v>
      </c>
      <c r="L175" s="2">
        <v>34.860845022029281</v>
      </c>
      <c r="M175" s="2">
        <v>172.55863336208529</v>
      </c>
      <c r="N175" s="2">
        <v>1.0887</v>
      </c>
      <c r="O175" s="2">
        <v>14.288</v>
      </c>
      <c r="P175" s="2">
        <v>0.32700000000000001</v>
      </c>
      <c r="Q175" s="2">
        <v>2.8937999999999997</v>
      </c>
      <c r="R175" s="2">
        <v>10.347799999999999</v>
      </c>
      <c r="S175" s="2">
        <v>14.3066</v>
      </c>
      <c r="T175" s="2">
        <v>40.043600000000005</v>
      </c>
      <c r="U175" s="2">
        <v>35.042200000000001</v>
      </c>
      <c r="V175" s="2">
        <v>30.756399999999999</v>
      </c>
      <c r="W175" s="2">
        <v>28.303800000000003</v>
      </c>
      <c r="X175" s="2">
        <v>14.633599999999999</v>
      </c>
      <c r="Y175" s="2">
        <v>102.82</v>
      </c>
      <c r="Z175" s="2">
        <v>5.86</v>
      </c>
      <c r="AA175" s="2">
        <v>71.41</v>
      </c>
      <c r="AB175" s="2">
        <v>22.74</v>
      </c>
      <c r="AC175" s="2">
        <v>2.25</v>
      </c>
      <c r="AD175" s="2">
        <v>13.13</v>
      </c>
      <c r="AE175" s="2">
        <v>76.349999999999994</v>
      </c>
      <c r="AF175" s="2">
        <v>89.5</v>
      </c>
      <c r="AG175" s="2">
        <v>52.1</v>
      </c>
      <c r="AH175" s="2">
        <v>37.4</v>
      </c>
      <c r="AI175" s="2">
        <v>10.96</v>
      </c>
      <c r="AJ175" s="2">
        <v>2.38</v>
      </c>
      <c r="AK175" s="2">
        <v>0.63200000000000001</v>
      </c>
      <c r="AL175" s="2">
        <v>0.84799999999999998</v>
      </c>
      <c r="AM175" s="2">
        <v>1.1579999999999999</v>
      </c>
      <c r="AN175" s="2">
        <v>1.341</v>
      </c>
      <c r="AO175" s="2">
        <v>0.53600000000000003</v>
      </c>
      <c r="AP175" s="2">
        <v>2.2410000000000001</v>
      </c>
      <c r="AQ175" s="2">
        <v>1.302</v>
      </c>
      <c r="AR175" s="2">
        <v>0.92500000000000004</v>
      </c>
      <c r="AS175" s="2">
        <v>13.2</v>
      </c>
      <c r="AT175" s="2">
        <v>127.1</v>
      </c>
      <c r="AU175" s="2">
        <v>1.208</v>
      </c>
      <c r="AV175" s="2">
        <v>1.1299999999999999</v>
      </c>
      <c r="AW175" s="2">
        <v>4.5999999999999999E-2</v>
      </c>
      <c r="AX175" s="2">
        <v>0.04</v>
      </c>
      <c r="AY175" s="2">
        <v>0.91400000000000003</v>
      </c>
      <c r="AZ175" s="2">
        <v>0.6</v>
      </c>
      <c r="BA175" s="2">
        <v>1.19</v>
      </c>
      <c r="BB175" s="2">
        <v>4.5</v>
      </c>
      <c r="BC175" s="2">
        <v>59</v>
      </c>
      <c r="BD175" s="2">
        <v>1.8</v>
      </c>
      <c r="BE175" s="2">
        <v>5.2</v>
      </c>
      <c r="BF175" s="2">
        <v>134</v>
      </c>
      <c r="BG175" s="2">
        <v>44</v>
      </c>
      <c r="BH175" s="2">
        <v>404</v>
      </c>
      <c r="BI175" s="2">
        <v>60</v>
      </c>
      <c r="BJ175" s="2">
        <v>10</v>
      </c>
      <c r="BK175" s="2">
        <v>14.8</v>
      </c>
      <c r="BL175" s="2">
        <v>8.5</v>
      </c>
      <c r="BM175" s="2">
        <v>0.6</v>
      </c>
      <c r="BN175" s="2">
        <v>0</v>
      </c>
      <c r="BO175" s="2">
        <v>0.11</v>
      </c>
      <c r="BP175" s="2">
        <v>2.02</v>
      </c>
      <c r="BQ175" s="2">
        <v>0.49</v>
      </c>
    </row>
    <row r="176" spans="1:69" x14ac:dyDescent="0.2">
      <c r="A176">
        <v>20</v>
      </c>
      <c r="B176">
        <v>197</v>
      </c>
      <c r="C176" t="s">
        <v>6</v>
      </c>
      <c r="D176" t="s">
        <v>0</v>
      </c>
      <c r="E176">
        <v>2</v>
      </c>
      <c r="F176" s="2">
        <v>192.49581993569134</v>
      </c>
      <c r="G176" s="2">
        <v>303.73154001344994</v>
      </c>
      <c r="H176" s="2">
        <v>338.69517684887467</v>
      </c>
      <c r="I176" s="2">
        <v>524.90517821116339</v>
      </c>
      <c r="J176" s="2">
        <v>531.19099678456598</v>
      </c>
      <c r="K176" s="2">
        <v>828.63671822461333</v>
      </c>
      <c r="L176" s="2">
        <v>111.2357200777586</v>
      </c>
      <c r="M176" s="2">
        <v>297.44572144004735</v>
      </c>
      <c r="N176" s="2">
        <v>1.736</v>
      </c>
      <c r="O176" s="2">
        <v>21.775000000000002</v>
      </c>
      <c r="P176" s="2">
        <v>1.0158</v>
      </c>
      <c r="Q176" s="2">
        <v>3.7482000000000002</v>
      </c>
      <c r="R176" s="2">
        <v>24.302600000000005</v>
      </c>
      <c r="S176" s="2">
        <v>9.6681999999999988</v>
      </c>
      <c r="T176" s="2">
        <v>32.650399999999998</v>
      </c>
      <c r="U176" s="2">
        <v>38.050599999999996</v>
      </c>
      <c r="V176" s="2">
        <v>51.669200000000004</v>
      </c>
      <c r="W176" s="2">
        <v>25.714599999999997</v>
      </c>
      <c r="X176" s="2">
        <v>10.683999999999999</v>
      </c>
      <c r="Y176" s="2">
        <v>96.13</v>
      </c>
      <c r="Z176" s="2">
        <v>5.71</v>
      </c>
      <c r="AA176" s="2">
        <v>69.760000000000005</v>
      </c>
      <c r="AB176" s="2">
        <v>18.61</v>
      </c>
      <c r="AC176" s="2">
        <v>1.55</v>
      </c>
      <c r="AD176" s="2">
        <v>11.94</v>
      </c>
      <c r="AE176" s="2">
        <v>74.45</v>
      </c>
      <c r="AF176" s="2">
        <v>86.4</v>
      </c>
      <c r="AG176" s="2">
        <v>48.7</v>
      </c>
      <c r="AH176" s="2">
        <v>37.700000000000003</v>
      </c>
      <c r="AI176" s="2">
        <v>7.51</v>
      </c>
      <c r="AJ176" s="2">
        <v>2.23</v>
      </c>
      <c r="AK176" s="2">
        <v>0.65400000000000003</v>
      </c>
      <c r="AL176" s="2">
        <v>0.85399999999999998</v>
      </c>
      <c r="AM176" s="2">
        <v>1.145</v>
      </c>
      <c r="AN176" s="2">
        <v>1.3049999999999999</v>
      </c>
      <c r="AO176" s="2">
        <v>0.55900000000000005</v>
      </c>
      <c r="AP176" s="2">
        <v>2.0910000000000002</v>
      </c>
      <c r="AQ176" s="2">
        <v>1.2170000000000001</v>
      </c>
      <c r="AR176" s="2">
        <v>1.522</v>
      </c>
      <c r="AS176" s="2">
        <v>20.38</v>
      </c>
      <c r="AT176" s="2">
        <v>290.7</v>
      </c>
      <c r="AU176" s="2">
        <v>1.097</v>
      </c>
      <c r="AV176" s="2">
        <v>0.81</v>
      </c>
      <c r="AW176" s="2">
        <v>2.1000000000000001E-2</v>
      </c>
      <c r="AX176" s="2">
        <v>5.1999999999999998E-2</v>
      </c>
      <c r="AY176" s="2">
        <v>0.92700000000000005</v>
      </c>
      <c r="AZ176" s="2">
        <v>0.41</v>
      </c>
      <c r="BA176" s="2">
        <v>1.1299999999999999</v>
      </c>
      <c r="BB176" s="2">
        <v>7.4</v>
      </c>
      <c r="BC176" s="2">
        <v>83</v>
      </c>
      <c r="BD176" s="2">
        <v>1.2</v>
      </c>
      <c r="BE176" s="2">
        <v>6</v>
      </c>
      <c r="BF176" s="2">
        <v>103</v>
      </c>
      <c r="BG176" s="2">
        <v>64</v>
      </c>
      <c r="BH176" s="2">
        <v>860</v>
      </c>
      <c r="BI176" s="2">
        <v>213</v>
      </c>
      <c r="BJ176" s="2">
        <v>12</v>
      </c>
      <c r="BK176" s="2">
        <v>7.6</v>
      </c>
      <c r="BL176" s="2">
        <v>22.6</v>
      </c>
      <c r="BM176" s="2">
        <v>0.9</v>
      </c>
      <c r="BN176" s="2">
        <v>0</v>
      </c>
      <c r="BO176" s="2">
        <v>0.16</v>
      </c>
      <c r="BP176" s="2">
        <v>4.3</v>
      </c>
      <c r="BQ176" s="2">
        <v>1.75</v>
      </c>
    </row>
    <row r="177" spans="1:69" x14ac:dyDescent="0.2">
      <c r="A177">
        <v>20</v>
      </c>
      <c r="B177">
        <v>209</v>
      </c>
      <c r="C177" t="s">
        <v>6</v>
      </c>
      <c r="D177" t="s">
        <v>5</v>
      </c>
      <c r="E177">
        <v>2</v>
      </c>
      <c r="F177" s="2">
        <v>65.575629139072888</v>
      </c>
      <c r="G177" s="2">
        <v>87.763028953229522</v>
      </c>
      <c r="H177" s="2">
        <v>366.68821192052985</v>
      </c>
      <c r="I177" s="2">
        <v>328.54877505567924</v>
      </c>
      <c r="J177" s="2">
        <v>432.26384105960273</v>
      </c>
      <c r="K177" s="2">
        <v>416.31180400890878</v>
      </c>
      <c r="L177" s="2">
        <v>22.187399814156635</v>
      </c>
      <c r="M177" s="2">
        <v>-15.952037050693946</v>
      </c>
      <c r="N177" s="2">
        <v>0.74329999999999996</v>
      </c>
      <c r="O177" s="2">
        <v>27.509</v>
      </c>
      <c r="P177" s="2">
        <v>0.58719999999999994</v>
      </c>
      <c r="Q177" s="2">
        <v>27.207000000000001</v>
      </c>
      <c r="R177" s="2">
        <v>3.5377999999999998</v>
      </c>
      <c r="S177" s="2">
        <v>9.9873999999999992</v>
      </c>
      <c r="T177" s="2">
        <v>0.47120000000000006</v>
      </c>
      <c r="U177" s="2">
        <v>21.998199999999997</v>
      </c>
      <c r="V177" s="2">
        <v>14.961399999999999</v>
      </c>
      <c r="W177" s="2">
        <v>17.1036</v>
      </c>
      <c r="X177" s="2">
        <v>10.574599999999998</v>
      </c>
      <c r="Y177" s="2">
        <v>102.02</v>
      </c>
      <c r="Z177" s="2">
        <v>14.22</v>
      </c>
      <c r="AA177" s="2">
        <v>58.2</v>
      </c>
      <c r="AB177" s="2">
        <v>25.61</v>
      </c>
      <c r="AC177" s="2">
        <v>3.33</v>
      </c>
      <c r="AD177" s="2">
        <v>16.239999999999998</v>
      </c>
      <c r="AE177" s="2">
        <v>68.31</v>
      </c>
      <c r="AF177" s="2">
        <v>84.6</v>
      </c>
      <c r="AG177" s="2">
        <v>51.7</v>
      </c>
      <c r="AH177" s="2">
        <v>32.9</v>
      </c>
      <c r="AI177" s="2">
        <v>14.14</v>
      </c>
      <c r="AJ177" s="2">
        <v>3.33</v>
      </c>
      <c r="AK177" s="2">
        <v>0.79600000000000004</v>
      </c>
      <c r="AL177" s="2">
        <v>0.89800000000000002</v>
      </c>
      <c r="AM177" s="2">
        <v>1.167</v>
      </c>
      <c r="AN177" s="2">
        <v>1.1279999999999999</v>
      </c>
      <c r="AO177" s="2">
        <v>0.71499999999999997</v>
      </c>
      <c r="AP177" s="2">
        <v>1.1419999999999999</v>
      </c>
      <c r="AQ177" s="2">
        <v>1.2909999999999999</v>
      </c>
      <c r="AR177" s="2">
        <v>0.73899999999999999</v>
      </c>
      <c r="AS177" s="2">
        <v>29.21</v>
      </c>
      <c r="AT177" s="2">
        <v>129.69999999999999</v>
      </c>
      <c r="AU177" s="2">
        <v>1.036</v>
      </c>
      <c r="AV177" s="2">
        <v>3.04</v>
      </c>
      <c r="AW177" s="2">
        <v>7.4999999999999997E-2</v>
      </c>
      <c r="AX177" s="2">
        <v>7.0999999999999994E-2</v>
      </c>
      <c r="AY177" s="2">
        <v>0.85399999999999998</v>
      </c>
      <c r="AZ177" s="2">
        <v>0.6</v>
      </c>
      <c r="BA177" s="2">
        <v>1.1499999999999999</v>
      </c>
      <c r="BB177" s="2">
        <v>5.0999999999999996</v>
      </c>
      <c r="BC177" s="2">
        <v>11</v>
      </c>
      <c r="BD177" s="2">
        <v>4.5</v>
      </c>
      <c r="BE177" s="2">
        <v>3.9</v>
      </c>
      <c r="BF177" s="2">
        <v>5</v>
      </c>
      <c r="BG177" s="2">
        <v>15</v>
      </c>
      <c r="BH177" s="2">
        <v>66</v>
      </c>
      <c r="BI177" s="2">
        <v>21</v>
      </c>
      <c r="BJ177" s="2">
        <v>17</v>
      </c>
      <c r="BK177" s="2">
        <v>0.9</v>
      </c>
      <c r="BL177" s="2">
        <v>0.4</v>
      </c>
      <c r="BM177" s="2">
        <v>0.4</v>
      </c>
      <c r="BN177" s="2">
        <v>0</v>
      </c>
      <c r="BO177" s="2">
        <v>0.04</v>
      </c>
      <c r="BP177" s="2">
        <v>0.33</v>
      </c>
      <c r="BQ177" s="2">
        <v>0.17</v>
      </c>
    </row>
    <row r="178" spans="1:69" x14ac:dyDescent="0.2">
      <c r="A178">
        <v>20</v>
      </c>
      <c r="B178">
        <v>213</v>
      </c>
      <c r="C178" t="s">
        <v>6</v>
      </c>
      <c r="D178" t="s">
        <v>5</v>
      </c>
      <c r="E178">
        <v>4</v>
      </c>
      <c r="F178" s="2">
        <v>124.77949514563113</v>
      </c>
      <c r="G178" s="2">
        <v>52.985287691187224</v>
      </c>
      <c r="H178" s="2">
        <v>244.85033009708738</v>
      </c>
      <c r="I178" s="2">
        <v>434.92090313182803</v>
      </c>
      <c r="J178" s="2">
        <v>369.62982524271854</v>
      </c>
      <c r="K178" s="2">
        <v>487.90619082301527</v>
      </c>
      <c r="L178" s="2">
        <v>-71.794207454443907</v>
      </c>
      <c r="M178" s="2">
        <v>118.27636558029673</v>
      </c>
      <c r="N178" s="2">
        <v>1.0471999999999999</v>
      </c>
      <c r="O178" s="2">
        <v>25.692</v>
      </c>
      <c r="P178" s="2">
        <v>0.65039999999999998</v>
      </c>
      <c r="Q178" s="2">
        <v>0.5454</v>
      </c>
      <c r="R178" s="2">
        <v>2.9474</v>
      </c>
      <c r="S178" s="2">
        <v>12.7034</v>
      </c>
      <c r="T178" s="2">
        <v>37.151600000000002</v>
      </c>
      <c r="U178" s="2">
        <v>37.405000000000001</v>
      </c>
      <c r="V178" s="2">
        <v>26.998600000000003</v>
      </c>
      <c r="W178" s="2">
        <v>24.343200000000003</v>
      </c>
      <c r="X178" s="2">
        <v>13.3538</v>
      </c>
      <c r="Y178" s="2">
        <v>98.79</v>
      </c>
      <c r="Z178" s="2">
        <v>9.4499999999999993</v>
      </c>
      <c r="AA178" s="2">
        <v>63.97</v>
      </c>
      <c r="AB178" s="2">
        <v>22.15</v>
      </c>
      <c r="AC178" s="2">
        <v>2.4500000000000002</v>
      </c>
      <c r="AD178" s="2">
        <v>17.28</v>
      </c>
      <c r="AE178" s="2">
        <v>66.239999999999995</v>
      </c>
      <c r="AF178" s="2">
        <v>83.5</v>
      </c>
      <c r="AG178" s="2">
        <v>50</v>
      </c>
      <c r="AH178" s="2">
        <v>33.5</v>
      </c>
      <c r="AI178" s="2">
        <v>11.29</v>
      </c>
      <c r="AJ178" s="2">
        <v>3.98</v>
      </c>
      <c r="AK178" s="2">
        <v>0.71499999999999997</v>
      </c>
      <c r="AL178" s="2">
        <v>0.94</v>
      </c>
      <c r="AM178" s="2">
        <v>1.1379999999999999</v>
      </c>
      <c r="AN178" s="2">
        <v>1.3160000000000001</v>
      </c>
      <c r="AO178" s="2">
        <v>0.67200000000000004</v>
      </c>
      <c r="AP178" s="2">
        <v>1.829</v>
      </c>
      <c r="AQ178" s="2">
        <v>1.2509999999999999</v>
      </c>
      <c r="AR178" s="2">
        <v>1.2330000000000001</v>
      </c>
      <c r="AS178" s="2">
        <v>33.01</v>
      </c>
      <c r="AT178" s="2">
        <v>169</v>
      </c>
      <c r="AU178" s="2">
        <v>1.0189999999999999</v>
      </c>
      <c r="AV178" s="2">
        <v>0.81</v>
      </c>
      <c r="AW178" s="2">
        <v>3.6999999999999998E-2</v>
      </c>
      <c r="AX178" s="2">
        <v>9.2999999999999999E-2</v>
      </c>
      <c r="AY178" s="2">
        <v>0.87</v>
      </c>
      <c r="AZ178" s="2">
        <v>1.49</v>
      </c>
      <c r="BA178" s="2">
        <v>1.1499999999999999</v>
      </c>
      <c r="BB178" s="2">
        <v>4.5</v>
      </c>
      <c r="BC178" s="2">
        <v>21</v>
      </c>
      <c r="BD178" s="2">
        <v>3.5</v>
      </c>
      <c r="BE178" s="2">
        <v>4.3</v>
      </c>
      <c r="BF178" s="2">
        <v>25</v>
      </c>
      <c r="BG178" s="2">
        <v>29</v>
      </c>
      <c r="BH178" s="2">
        <v>125</v>
      </c>
      <c r="BI178" s="2">
        <v>32</v>
      </c>
      <c r="BJ178" s="2">
        <v>20</v>
      </c>
      <c r="BK178" s="2">
        <v>13.6</v>
      </c>
      <c r="BL178" s="2">
        <v>0.5</v>
      </c>
      <c r="BM178" s="2">
        <v>0.6</v>
      </c>
      <c r="BN178" s="2">
        <v>0</v>
      </c>
      <c r="BO178" s="2">
        <v>7.0000000000000007E-2</v>
      </c>
      <c r="BP178" s="2">
        <v>0.63</v>
      </c>
      <c r="BQ178" s="2">
        <v>0.26</v>
      </c>
    </row>
    <row r="179" spans="1:69" x14ac:dyDescent="0.2">
      <c r="A179">
        <v>20</v>
      </c>
      <c r="B179">
        <v>228</v>
      </c>
      <c r="C179" t="s">
        <v>6</v>
      </c>
      <c r="D179" t="s">
        <v>7</v>
      </c>
      <c r="E179">
        <v>4</v>
      </c>
      <c r="F179" s="2">
        <v>36.812272291466996</v>
      </c>
      <c r="G179" s="2">
        <v>69.027326732673387</v>
      </c>
      <c r="H179" s="2">
        <v>66.843336529242521</v>
      </c>
      <c r="I179" s="2">
        <v>87.034455445544467</v>
      </c>
      <c r="J179" s="2">
        <v>103.65560882070952</v>
      </c>
      <c r="K179" s="2">
        <v>156.06178217821787</v>
      </c>
      <c r="L179" s="2">
        <v>32.215054441206391</v>
      </c>
      <c r="M179" s="2">
        <v>52.406173357508351</v>
      </c>
      <c r="N179" s="2">
        <v>0.27600000000000002</v>
      </c>
      <c r="O179" s="2">
        <v>3.6591</v>
      </c>
      <c r="P179" s="2">
        <v>0.2944</v>
      </c>
      <c r="Q179" s="2">
        <v>0.61499999999999999</v>
      </c>
      <c r="R179" s="2">
        <v>3.9854000000000003</v>
      </c>
      <c r="S179" s="2">
        <v>3.4632000000000001</v>
      </c>
      <c r="T179" s="2">
        <v>8.7872000000000003</v>
      </c>
      <c r="U179" s="2">
        <v>9.1821999999999999</v>
      </c>
      <c r="V179" s="2">
        <v>9.41</v>
      </c>
      <c r="W179" s="2">
        <v>5.6446000000000005</v>
      </c>
      <c r="X179" s="2">
        <v>3.7576000000000001</v>
      </c>
      <c r="Y179" s="2">
        <v>124.02</v>
      </c>
      <c r="Z179" s="2">
        <v>6.14</v>
      </c>
      <c r="AA179" s="2">
        <v>86.9</v>
      </c>
      <c r="AB179" s="2">
        <v>28.02</v>
      </c>
      <c r="AC179" s="2">
        <v>2.2799999999999998</v>
      </c>
      <c r="AD179" s="2">
        <v>7.57</v>
      </c>
      <c r="AE179" s="2">
        <v>90.35</v>
      </c>
      <c r="AF179" s="2">
        <v>97.9</v>
      </c>
      <c r="AG179" s="2">
        <v>62.8</v>
      </c>
      <c r="AH179" s="2">
        <v>35.1</v>
      </c>
      <c r="AI179" s="2">
        <v>21.13</v>
      </c>
      <c r="AJ179" s="2">
        <v>4.97</v>
      </c>
      <c r="AK179" s="2">
        <v>0.61499999999999999</v>
      </c>
      <c r="AL179" s="2">
        <v>0.65800000000000003</v>
      </c>
      <c r="AM179" s="2">
        <v>1.052</v>
      </c>
      <c r="AN179" s="2">
        <v>1.069</v>
      </c>
      <c r="AO179" s="2">
        <v>0.40500000000000003</v>
      </c>
      <c r="AP179" s="2">
        <v>1.2330000000000001</v>
      </c>
      <c r="AQ179" s="2">
        <v>1.57</v>
      </c>
      <c r="AR179" s="2">
        <v>0.36699999999999999</v>
      </c>
      <c r="AS179" s="2">
        <v>5.17</v>
      </c>
      <c r="AT179" s="2">
        <v>70.900000000000006</v>
      </c>
      <c r="AU179" s="2">
        <v>1.3220000000000001</v>
      </c>
      <c r="AV179" s="2">
        <v>0.3</v>
      </c>
      <c r="AW179" s="2">
        <v>2.7E-2</v>
      </c>
      <c r="AX179" s="2">
        <v>6.4000000000000001E-2</v>
      </c>
      <c r="AY179" s="2">
        <v>0.90900000000000003</v>
      </c>
      <c r="AZ179" s="2">
        <v>0.36</v>
      </c>
      <c r="BA179" s="2">
        <v>1.46</v>
      </c>
      <c r="BB179" s="2">
        <v>3.4</v>
      </c>
      <c r="BC179" s="2">
        <v>79</v>
      </c>
      <c r="BD179" s="2">
        <v>0.7</v>
      </c>
      <c r="BE179" s="2">
        <v>5.9</v>
      </c>
      <c r="BF179" s="2">
        <v>122</v>
      </c>
      <c r="BG179" s="2">
        <v>36</v>
      </c>
      <c r="BH179" s="2">
        <v>376</v>
      </c>
      <c r="BI179" s="2">
        <v>89</v>
      </c>
      <c r="BJ179" s="2">
        <v>9</v>
      </c>
      <c r="BK179" s="2">
        <v>8</v>
      </c>
      <c r="BL179" s="2">
        <v>19.3</v>
      </c>
      <c r="BM179" s="2">
        <v>3.4</v>
      </c>
      <c r="BN179" s="2">
        <v>0</v>
      </c>
      <c r="BO179" s="2">
        <v>0.09</v>
      </c>
      <c r="BP179" s="2">
        <v>1.88</v>
      </c>
      <c r="BQ179" s="2">
        <v>0.73</v>
      </c>
    </row>
    <row r="180" spans="1:69" x14ac:dyDescent="0.2">
      <c r="A180">
        <v>20</v>
      </c>
      <c r="B180">
        <v>274</v>
      </c>
      <c r="C180" t="s">
        <v>6</v>
      </c>
      <c r="D180" t="s">
        <v>7</v>
      </c>
      <c r="E180">
        <v>1</v>
      </c>
      <c r="F180" s="2">
        <v>59.737571519389796</v>
      </c>
      <c r="G180" s="2">
        <v>101.52811594202906</v>
      </c>
      <c r="H180" s="2">
        <v>120.43865225683406</v>
      </c>
      <c r="I180" s="2">
        <v>132.76753623188398</v>
      </c>
      <c r="J180" s="2">
        <v>180.17622377622385</v>
      </c>
      <c r="K180" s="2">
        <v>234.29565217391303</v>
      </c>
      <c r="L180" s="2">
        <v>41.790544422639265</v>
      </c>
      <c r="M180" s="2">
        <v>54.119428397689177</v>
      </c>
      <c r="N180" s="2">
        <v>0.51459999999999995</v>
      </c>
      <c r="O180" s="2">
        <v>8.8279999999999994</v>
      </c>
      <c r="P180" s="2">
        <v>0.34620000000000001</v>
      </c>
      <c r="Q180" s="2">
        <v>3.9137999999999997</v>
      </c>
      <c r="R180" s="2">
        <v>5.1926000000000005</v>
      </c>
      <c r="S180" s="2">
        <v>3.8134000000000001</v>
      </c>
      <c r="T180" s="2">
        <v>9.5071999999999992</v>
      </c>
      <c r="U180" s="2">
        <v>12.923799999999998</v>
      </c>
      <c r="V180" s="2">
        <v>13.956799999999998</v>
      </c>
      <c r="W180" s="2">
        <v>9.2613999999999983</v>
      </c>
      <c r="X180" s="2">
        <v>4.1596000000000002</v>
      </c>
      <c r="Y180" s="2">
        <v>120.21</v>
      </c>
      <c r="Z180" s="2">
        <v>6.74</v>
      </c>
      <c r="AA180" s="2">
        <v>86.7</v>
      </c>
      <c r="AB180" s="2">
        <v>22.01</v>
      </c>
      <c r="AC180" s="2">
        <v>3.94</v>
      </c>
      <c r="AD180" s="2">
        <v>8.0299999999999994</v>
      </c>
      <c r="AE180" s="2">
        <v>97.27</v>
      </c>
      <c r="AF180" s="2">
        <v>105.3</v>
      </c>
      <c r="AG180" s="2">
        <v>60.9</v>
      </c>
      <c r="AH180" s="2">
        <v>44.4</v>
      </c>
      <c r="AI180" s="2">
        <v>8.2799999999999994</v>
      </c>
      <c r="AJ180" s="2">
        <v>6.63</v>
      </c>
      <c r="AK180" s="2">
        <v>0.64100000000000001</v>
      </c>
      <c r="AL180" s="2">
        <v>0.71</v>
      </c>
      <c r="AM180" s="2">
        <v>1.127</v>
      </c>
      <c r="AN180" s="2">
        <v>1.1080000000000001</v>
      </c>
      <c r="AO180" s="2">
        <v>0.45500000000000002</v>
      </c>
      <c r="AP180" s="2">
        <v>1.1910000000000001</v>
      </c>
      <c r="AQ180" s="2">
        <v>1.522</v>
      </c>
      <c r="AR180" s="2">
        <v>0.627</v>
      </c>
      <c r="AS180" s="2">
        <v>11.15</v>
      </c>
      <c r="AT180" s="2">
        <v>122.7</v>
      </c>
      <c r="AU180" s="2">
        <v>1.3460000000000001</v>
      </c>
      <c r="AV180" s="2">
        <v>0.17</v>
      </c>
      <c r="AW180" s="2">
        <v>3.5999999999999997E-2</v>
      </c>
      <c r="AX180" s="2">
        <v>8.4000000000000005E-2</v>
      </c>
      <c r="AY180" s="2">
        <v>0.88</v>
      </c>
      <c r="AZ180" s="2">
        <v>0.86</v>
      </c>
      <c r="BA180" s="2">
        <v>1.39</v>
      </c>
      <c r="BB180" s="2">
        <v>5.0999999999999996</v>
      </c>
      <c r="BC180" s="2">
        <v>81</v>
      </c>
      <c r="BD180" s="2">
        <v>1</v>
      </c>
      <c r="BE180" s="2">
        <v>6</v>
      </c>
      <c r="BF180" s="2">
        <v>180</v>
      </c>
      <c r="BG180" s="2">
        <v>64</v>
      </c>
      <c r="BH180" s="2">
        <v>588</v>
      </c>
      <c r="BI180" s="2">
        <v>126</v>
      </c>
      <c r="BJ180" s="2">
        <v>13</v>
      </c>
      <c r="BK180" s="2">
        <v>13</v>
      </c>
      <c r="BL180" s="2">
        <v>14.2</v>
      </c>
      <c r="BM180" s="2">
        <v>2.1</v>
      </c>
      <c r="BN180" s="2">
        <v>0</v>
      </c>
      <c r="BO180" s="2">
        <v>0.16</v>
      </c>
      <c r="BP180" s="2">
        <v>2.94</v>
      </c>
      <c r="BQ180" s="2">
        <v>1.04</v>
      </c>
    </row>
    <row r="181" spans="1:69" x14ac:dyDescent="0.2">
      <c r="A181">
        <v>20</v>
      </c>
      <c r="B181">
        <v>305</v>
      </c>
      <c r="C181" t="s">
        <v>6</v>
      </c>
      <c r="D181" t="s">
        <v>5</v>
      </c>
      <c r="E181">
        <v>3</v>
      </c>
      <c r="F181" s="2">
        <v>101.24832989690726</v>
      </c>
      <c r="G181" s="2">
        <v>150.04871794871804</v>
      </c>
      <c r="H181" s="2">
        <v>282.49534020618557</v>
      </c>
      <c r="I181" s="2">
        <v>514.9153846153846</v>
      </c>
      <c r="J181" s="2">
        <v>383.74367010309282</v>
      </c>
      <c r="K181" s="2">
        <v>664.96410256410263</v>
      </c>
      <c r="L181" s="2">
        <v>48.800388051810771</v>
      </c>
      <c r="M181" s="2">
        <v>281.22043246100981</v>
      </c>
      <c r="N181" s="2">
        <v>1.3924000000000001</v>
      </c>
      <c r="O181" s="2">
        <v>34.603999999999999</v>
      </c>
      <c r="P181" s="2">
        <v>0.75439999999999996</v>
      </c>
      <c r="Q181" s="2">
        <v>0.16860000000000003</v>
      </c>
      <c r="R181" s="2">
        <v>3.4645999999999999</v>
      </c>
      <c r="S181" s="2">
        <v>12.494999999999999</v>
      </c>
      <c r="T181" s="2">
        <v>31.678399999999996</v>
      </c>
      <c r="U181" s="2">
        <v>35.899000000000001</v>
      </c>
      <c r="V181" s="2">
        <v>26.114199999999997</v>
      </c>
      <c r="W181" s="2">
        <v>18.5976</v>
      </c>
      <c r="X181" s="2">
        <v>13.2494</v>
      </c>
      <c r="Y181" s="2">
        <v>94.42</v>
      </c>
      <c r="Z181" s="2">
        <v>7.06</v>
      </c>
      <c r="AA181" s="2">
        <v>59.02</v>
      </c>
      <c r="AB181" s="2">
        <v>24.89</v>
      </c>
      <c r="AC181" s="2">
        <v>2.89</v>
      </c>
      <c r="AD181" s="2">
        <v>11.61</v>
      </c>
      <c r="AE181" s="2">
        <v>65.569999999999993</v>
      </c>
      <c r="AF181" s="2">
        <v>77.2</v>
      </c>
      <c r="AG181" s="2">
        <v>47.8</v>
      </c>
      <c r="AH181" s="2">
        <v>29.4</v>
      </c>
      <c r="AI181" s="2">
        <v>14.4</v>
      </c>
      <c r="AJ181" s="2">
        <v>2.84</v>
      </c>
      <c r="AK181" s="2">
        <v>0.64700000000000002</v>
      </c>
      <c r="AL181" s="2">
        <v>0.81200000000000006</v>
      </c>
      <c r="AM181" s="2">
        <v>1.1679999999999999</v>
      </c>
      <c r="AN181" s="2">
        <v>1.2549999999999999</v>
      </c>
      <c r="AO181" s="2">
        <v>0.52500000000000002</v>
      </c>
      <c r="AP181" s="2">
        <v>1.6439999999999999</v>
      </c>
      <c r="AQ181" s="2">
        <v>1.1950000000000001</v>
      </c>
      <c r="AR181" s="2">
        <v>1.163</v>
      </c>
      <c r="AS181" s="2">
        <v>30.53</v>
      </c>
      <c r="AT181" s="2">
        <v>138.80000000000001</v>
      </c>
      <c r="AU181" s="2">
        <v>0.99299999999999999</v>
      </c>
      <c r="AV181" s="2">
        <v>0.93</v>
      </c>
      <c r="AW181" s="2">
        <v>5.8999999999999997E-2</v>
      </c>
      <c r="AX181" s="2">
        <v>7.0999999999999994E-2</v>
      </c>
      <c r="AY181" s="2">
        <v>0.871</v>
      </c>
      <c r="AZ181" s="2">
        <v>1.31</v>
      </c>
      <c r="BA181" s="2">
        <v>1.1100000000000001</v>
      </c>
      <c r="BB181" s="2">
        <v>5.7</v>
      </c>
      <c r="BC181" s="2">
        <v>21</v>
      </c>
      <c r="BD181" s="2">
        <v>4.5</v>
      </c>
      <c r="BE181" s="2">
        <v>3.9</v>
      </c>
      <c r="BF181" s="2">
        <v>21</v>
      </c>
      <c r="BG181" s="2">
        <v>20</v>
      </c>
      <c r="BH181" s="2">
        <v>164</v>
      </c>
      <c r="BI181" s="2">
        <v>37</v>
      </c>
      <c r="BJ181" s="2">
        <v>13</v>
      </c>
      <c r="BK181" s="2">
        <v>6.6</v>
      </c>
      <c r="BL181" s="2">
        <v>1.5</v>
      </c>
      <c r="BM181" s="2">
        <v>0.4</v>
      </c>
      <c r="BN181" s="2">
        <v>0</v>
      </c>
      <c r="BO181" s="2">
        <v>0.05</v>
      </c>
      <c r="BP181" s="2">
        <v>0.82</v>
      </c>
      <c r="BQ181" s="2">
        <v>0.3</v>
      </c>
    </row>
    <row r="182" spans="1:69" x14ac:dyDescent="0.2">
      <c r="A182">
        <v>10</v>
      </c>
      <c r="B182">
        <v>22</v>
      </c>
      <c r="C182" t="s">
        <v>1</v>
      </c>
      <c r="D182" t="s">
        <v>7</v>
      </c>
      <c r="E182">
        <v>3</v>
      </c>
      <c r="F182" s="2">
        <v>236.0641083521443</v>
      </c>
      <c r="G182" s="2">
        <v>305.63701067615642</v>
      </c>
      <c r="H182" s="2">
        <v>624.37246049661439</v>
      </c>
      <c r="I182" s="2">
        <v>526.77437722419927</v>
      </c>
      <c r="J182" s="2">
        <v>860.43656884875872</v>
      </c>
      <c r="K182" s="2">
        <v>832.41138790035575</v>
      </c>
      <c r="L182" s="2">
        <v>69.572902324012119</v>
      </c>
      <c r="M182" s="2">
        <v>-28.025180948402976</v>
      </c>
      <c r="N182" s="2">
        <v>3.7296</v>
      </c>
      <c r="O182" s="2">
        <v>66.616</v>
      </c>
      <c r="P182" s="2">
        <v>0.5302</v>
      </c>
      <c r="Q182" s="2">
        <v>7.4564650059311992</v>
      </c>
      <c r="R182" s="2">
        <v>21.192885375494072</v>
      </c>
      <c r="S182" s="2">
        <v>34.811599999999999</v>
      </c>
      <c r="T182" s="2">
        <v>87.793357058125736</v>
      </c>
      <c r="U182" s="2">
        <v>79.602635046113306</v>
      </c>
      <c r="V182" s="2">
        <v>65.453720421607386</v>
      </c>
      <c r="W182" s="2">
        <v>59.908022064056929</v>
      </c>
      <c r="X182" s="2">
        <v>35.341799999999999</v>
      </c>
      <c r="Y182" s="2">
        <v>76.040000000000006</v>
      </c>
      <c r="Z182" s="2">
        <v>34.43</v>
      </c>
      <c r="AA182" s="2">
        <v>20.010000000000002</v>
      </c>
      <c r="AB182" s="2">
        <v>17.86</v>
      </c>
      <c r="AC182" s="2">
        <v>3.36</v>
      </c>
      <c r="AD182" s="2">
        <v>13.52</v>
      </c>
      <c r="AE182" s="2">
        <v>28.34</v>
      </c>
      <c r="AF182" s="2">
        <v>41.9</v>
      </c>
      <c r="AG182" s="2">
        <v>38.5</v>
      </c>
      <c r="AH182" s="2">
        <v>3.4</v>
      </c>
      <c r="AI182" s="2">
        <v>27.99</v>
      </c>
      <c r="AJ182" s="2">
        <v>6.19</v>
      </c>
      <c r="AK182" s="2">
        <v>1.5029999999999999</v>
      </c>
      <c r="AL182" s="2">
        <v>0.80200000000000005</v>
      </c>
      <c r="AM182" s="2">
        <v>0.76900000000000002</v>
      </c>
      <c r="AN182" s="2">
        <v>0.53400000000000003</v>
      </c>
      <c r="AO182" s="2">
        <v>1.206</v>
      </c>
      <c r="AP182" s="2">
        <v>0.39300000000000002</v>
      </c>
      <c r="AQ182" s="2">
        <v>0.96299999999999997</v>
      </c>
      <c r="AR182" s="2">
        <v>3.3780000000000001</v>
      </c>
      <c r="AS182" s="2">
        <v>59.75</v>
      </c>
      <c r="AT182" s="2">
        <v>200.3</v>
      </c>
      <c r="AU182" s="2">
        <v>0.92600000000000005</v>
      </c>
      <c r="AV182" s="2">
        <v>0.1</v>
      </c>
      <c r="AW182" s="2">
        <v>0.215</v>
      </c>
      <c r="AX182" s="2">
        <v>0.24099999999999999</v>
      </c>
      <c r="AY182" s="2">
        <v>0.54400000000000004</v>
      </c>
      <c r="AZ182" s="2">
        <v>5.38</v>
      </c>
      <c r="BA182" s="2">
        <v>0.88</v>
      </c>
      <c r="BB182" s="2">
        <v>9.3000000000000007</v>
      </c>
      <c r="BC182" s="2">
        <v>69</v>
      </c>
      <c r="BD182" s="2">
        <v>2.8</v>
      </c>
      <c r="BE182" s="2">
        <v>5.6</v>
      </c>
      <c r="BF182" s="2">
        <v>153</v>
      </c>
      <c r="BG182" s="2">
        <v>111</v>
      </c>
      <c r="BH182" s="2">
        <v>920</v>
      </c>
      <c r="BI182" s="2">
        <v>189</v>
      </c>
      <c r="BJ182" s="2">
        <v>23</v>
      </c>
      <c r="BK182" s="2">
        <v>6</v>
      </c>
      <c r="BL182" s="2">
        <v>5</v>
      </c>
      <c r="BM182" s="2">
        <v>1.2</v>
      </c>
      <c r="BN182" s="2">
        <v>0.1</v>
      </c>
      <c r="BO182" s="2">
        <v>0.28000000000000003</v>
      </c>
      <c r="BP182" s="2">
        <v>4.5999999999999996</v>
      </c>
      <c r="BQ182" s="2">
        <v>1.55</v>
      </c>
    </row>
    <row r="183" spans="1:69" x14ac:dyDescent="0.2">
      <c r="A183">
        <v>20</v>
      </c>
      <c r="B183">
        <v>38</v>
      </c>
      <c r="C183" t="s">
        <v>1</v>
      </c>
      <c r="D183" t="s">
        <v>0</v>
      </c>
      <c r="E183">
        <v>4</v>
      </c>
      <c r="F183" s="2">
        <v>577.82849905003184</v>
      </c>
      <c r="G183" s="2">
        <v>713.49547534316218</v>
      </c>
      <c r="H183" s="2">
        <v>980.96466117796058</v>
      </c>
      <c r="I183" s="2">
        <v>929.23924758515477</v>
      </c>
      <c r="J183" s="2">
        <v>1558.7931602279923</v>
      </c>
      <c r="K183" s="2">
        <v>1642.7347229283168</v>
      </c>
      <c r="L183" s="2">
        <v>135.66697629313035</v>
      </c>
      <c r="M183" s="2">
        <v>83.941562700324539</v>
      </c>
      <c r="N183" s="2">
        <v>4.1244999999999994</v>
      </c>
      <c r="O183" s="2">
        <v>45.388000000000005</v>
      </c>
      <c r="P183" s="2">
        <v>1.0476000000000001</v>
      </c>
      <c r="Q183" s="2">
        <v>52.534199999999998</v>
      </c>
      <c r="R183" s="2">
        <v>38.841799999999999</v>
      </c>
      <c r="S183" s="2">
        <v>28.958199999999998</v>
      </c>
      <c r="T183" s="2">
        <v>150.90679999999998</v>
      </c>
      <c r="U183" s="2">
        <v>170.3914</v>
      </c>
      <c r="V183" s="2">
        <v>179.22740000000002</v>
      </c>
      <c r="W183" s="2">
        <v>173.43519999999998</v>
      </c>
      <c r="X183" s="2">
        <v>30.005799999999997</v>
      </c>
      <c r="Y183" s="2">
        <v>85.88</v>
      </c>
      <c r="Z183" s="2">
        <v>31.55</v>
      </c>
      <c r="AA183" s="2">
        <v>20.2</v>
      </c>
      <c r="AB183" s="2">
        <v>27</v>
      </c>
      <c r="AC183" s="2">
        <v>6.54</v>
      </c>
      <c r="AD183" s="2">
        <v>25.97</v>
      </c>
      <c r="AE183" s="2">
        <v>23.09</v>
      </c>
      <c r="AF183" s="2">
        <v>49.1</v>
      </c>
      <c r="AG183" s="2">
        <v>43.5</v>
      </c>
      <c r="AH183" s="2">
        <v>5.6</v>
      </c>
      <c r="AI183" s="2">
        <v>30.56</v>
      </c>
      <c r="AJ183" s="2">
        <v>6.26</v>
      </c>
      <c r="AK183" s="2">
        <v>1.2529999999999999</v>
      </c>
      <c r="AL183" s="2">
        <v>1.0940000000000001</v>
      </c>
      <c r="AM183" s="2">
        <v>0.94799999999999995</v>
      </c>
      <c r="AN183" s="2">
        <v>0.873</v>
      </c>
      <c r="AO183" s="2">
        <v>1.37</v>
      </c>
      <c r="AP183" s="2">
        <v>0.82299999999999995</v>
      </c>
      <c r="AQ183" s="2">
        <v>1.087</v>
      </c>
      <c r="AR183" s="2">
        <v>3.4870000000000001</v>
      </c>
      <c r="AS183" s="2">
        <v>40.479999999999997</v>
      </c>
      <c r="AT183" s="2">
        <v>476.2</v>
      </c>
      <c r="AU183" s="2">
        <v>1.173</v>
      </c>
      <c r="AV183" s="2">
        <v>0.08</v>
      </c>
      <c r="AW183" s="2">
        <v>0.113</v>
      </c>
      <c r="AX183" s="2">
        <v>0.184</v>
      </c>
      <c r="AY183" s="2">
        <v>0.70199999999999996</v>
      </c>
      <c r="AZ183" s="2">
        <v>1.31</v>
      </c>
      <c r="BA183" s="2">
        <v>0.87</v>
      </c>
      <c r="BB183" s="2">
        <v>13.6</v>
      </c>
      <c r="BC183" s="2">
        <v>89</v>
      </c>
      <c r="BD183" s="2">
        <v>1.5</v>
      </c>
      <c r="BE183" s="2">
        <v>6.1</v>
      </c>
      <c r="BF183" s="2">
        <v>114</v>
      </c>
      <c r="BG183" s="2">
        <v>229</v>
      </c>
      <c r="BH183" s="2">
        <v>1678</v>
      </c>
      <c r="BI183" s="2">
        <v>386</v>
      </c>
      <c r="BJ183" s="2">
        <v>24</v>
      </c>
      <c r="BK183" s="2">
        <v>14.2</v>
      </c>
      <c r="BL183" s="2">
        <v>7.5</v>
      </c>
      <c r="BM183" s="2">
        <v>1.5</v>
      </c>
      <c r="BN183" s="2">
        <v>0.2</v>
      </c>
      <c r="BO183" s="2">
        <v>0.59</v>
      </c>
      <c r="BP183" s="2">
        <v>8.39</v>
      </c>
      <c r="BQ183" s="2">
        <v>3.17</v>
      </c>
    </row>
    <row r="184" spans="1:69" x14ac:dyDescent="0.2">
      <c r="A184">
        <v>10</v>
      </c>
      <c r="B184">
        <v>53</v>
      </c>
      <c r="C184" t="s">
        <v>1</v>
      </c>
      <c r="D184" t="s">
        <v>7</v>
      </c>
      <c r="E184">
        <v>2</v>
      </c>
      <c r="F184" s="2">
        <v>158.37657416267874</v>
      </c>
      <c r="G184" s="2">
        <v>250.95785850860355</v>
      </c>
      <c r="H184" s="2">
        <v>246.55693779904294</v>
      </c>
      <c r="I184" s="2">
        <v>863.57323135755234</v>
      </c>
      <c r="J184" s="2">
        <v>404.93351196172171</v>
      </c>
      <c r="K184" s="2">
        <v>1114.531089866156</v>
      </c>
      <c r="L184" s="2">
        <v>92.581284345924814</v>
      </c>
      <c r="M184" s="2">
        <v>709.59757790443427</v>
      </c>
      <c r="N184" s="2">
        <v>2.419</v>
      </c>
      <c r="O184" s="2">
        <v>37.576000000000001</v>
      </c>
      <c r="P184" s="2">
        <v>0.78979999999999995</v>
      </c>
      <c r="Q184" s="2">
        <v>2.9375375375375374</v>
      </c>
      <c r="R184" s="2">
        <v>5.4090725806451614</v>
      </c>
      <c r="S184" s="2">
        <v>30.914400000000001</v>
      </c>
      <c r="T184" s="2">
        <v>53.795395395395396</v>
      </c>
      <c r="U184" s="2">
        <v>62.162500000000009</v>
      </c>
      <c r="V184" s="2">
        <v>35.867372580645167</v>
      </c>
      <c r="W184" s="2">
        <v>25.028732932932932</v>
      </c>
      <c r="X184" s="2">
        <v>31.7042</v>
      </c>
      <c r="Y184" s="2">
        <v>89.15</v>
      </c>
      <c r="Z184" s="2">
        <v>36.82</v>
      </c>
      <c r="AA184" s="2">
        <v>23.32</v>
      </c>
      <c r="AB184" s="2">
        <v>21.51</v>
      </c>
      <c r="AC184" s="2">
        <v>6.8</v>
      </c>
      <c r="AD184" s="2">
        <v>7.88</v>
      </c>
      <c r="AE184" s="2">
        <v>32.270000000000003</v>
      </c>
      <c r="AF184" s="2">
        <v>40.200000000000003</v>
      </c>
      <c r="AG184" s="2">
        <v>45.1</v>
      </c>
      <c r="AH184" s="2">
        <v>-5</v>
      </c>
      <c r="AI184" s="2">
        <v>39.49</v>
      </c>
      <c r="AJ184" s="2">
        <v>9.51</v>
      </c>
      <c r="AK184" s="2">
        <v>1.39</v>
      </c>
      <c r="AL184" s="2">
        <v>0.55100000000000005</v>
      </c>
      <c r="AM184" s="2">
        <v>0.66800000000000004</v>
      </c>
      <c r="AN184" s="2">
        <v>0.39600000000000002</v>
      </c>
      <c r="AO184" s="2">
        <v>0.76500000000000001</v>
      </c>
      <c r="AP184" s="2">
        <v>0.214</v>
      </c>
      <c r="AQ184" s="2">
        <v>1.1279999999999999</v>
      </c>
      <c r="AR184" s="2">
        <v>2.5979999999999999</v>
      </c>
      <c r="AS184" s="2">
        <v>41.81</v>
      </c>
      <c r="AT184" s="2">
        <v>113.2</v>
      </c>
      <c r="AU184" s="2">
        <v>1.2989999999999999</v>
      </c>
      <c r="AV184" s="2">
        <v>0</v>
      </c>
      <c r="AW184" s="2">
        <v>0.16600000000000001</v>
      </c>
      <c r="AX184" s="2">
        <v>0.27500000000000002</v>
      </c>
      <c r="AY184" s="2">
        <v>0.55900000000000005</v>
      </c>
      <c r="AZ184" s="2">
        <v>3.87</v>
      </c>
      <c r="BA184" s="2">
        <v>0.98</v>
      </c>
      <c r="BB184" s="2">
        <v>7.8</v>
      </c>
      <c r="BC184" s="2">
        <v>62</v>
      </c>
      <c r="BD184" s="2">
        <v>3</v>
      </c>
      <c r="BE184" s="2">
        <v>5.3</v>
      </c>
      <c r="BF184" s="2">
        <v>120</v>
      </c>
      <c r="BG184" s="2">
        <v>169</v>
      </c>
      <c r="BH184" s="2">
        <v>672</v>
      </c>
      <c r="BI184" s="2">
        <v>125</v>
      </c>
      <c r="BJ184" s="2">
        <v>20</v>
      </c>
      <c r="BK184" s="2">
        <v>6.1</v>
      </c>
      <c r="BL184" s="2">
        <v>1.8</v>
      </c>
      <c r="BM184" s="2">
        <v>0.8</v>
      </c>
      <c r="BN184" s="2">
        <v>0</v>
      </c>
      <c r="BO184" s="2">
        <v>0.43</v>
      </c>
      <c r="BP184" s="2">
        <v>3.36</v>
      </c>
      <c r="BQ184" s="2">
        <v>1.03</v>
      </c>
    </row>
    <row r="185" spans="1:69" x14ac:dyDescent="0.2">
      <c r="A185">
        <v>20</v>
      </c>
      <c r="B185">
        <v>81</v>
      </c>
      <c r="C185" t="s">
        <v>1</v>
      </c>
      <c r="D185" t="s">
        <v>0</v>
      </c>
      <c r="E185">
        <v>1</v>
      </c>
      <c r="F185" s="2">
        <v>280.09822784810132</v>
      </c>
      <c r="G185" s="2">
        <v>526.0760330578513</v>
      </c>
      <c r="H185" s="2">
        <v>579.38126582278483</v>
      </c>
      <c r="I185" s="2">
        <v>938.45797838525107</v>
      </c>
      <c r="J185" s="2">
        <v>859.47949367088609</v>
      </c>
      <c r="K185" s="2">
        <v>1464.5340114431024</v>
      </c>
      <c r="L185" s="2">
        <v>245.97780520974999</v>
      </c>
      <c r="M185" s="2">
        <v>605.05451777221629</v>
      </c>
      <c r="N185" s="2">
        <v>4.1528</v>
      </c>
      <c r="O185" s="2">
        <v>56.529999999999994</v>
      </c>
      <c r="P185" s="2">
        <v>0.45020000000000004</v>
      </c>
      <c r="Q185" s="2">
        <v>14.829000000000001</v>
      </c>
      <c r="R185" s="2">
        <v>22.893800000000002</v>
      </c>
      <c r="S185" s="2">
        <v>35.816400000000002</v>
      </c>
      <c r="T185" s="2">
        <v>169.33879999999999</v>
      </c>
      <c r="U185" s="2">
        <v>175.52979999999999</v>
      </c>
      <c r="V185" s="2">
        <v>162.15699999999998</v>
      </c>
      <c r="W185" s="2">
        <v>147.90119999999999</v>
      </c>
      <c r="X185" s="2">
        <v>36.266600000000004</v>
      </c>
      <c r="Y185" s="2">
        <v>76.02</v>
      </c>
      <c r="Z185" s="2">
        <v>43.8</v>
      </c>
      <c r="AA185" s="2">
        <v>16.11</v>
      </c>
      <c r="AB185" s="2">
        <v>12.6</v>
      </c>
      <c r="AC185" s="2">
        <v>3.15</v>
      </c>
      <c r="AD185" s="2">
        <v>33.81</v>
      </c>
      <c r="AE185" s="2">
        <v>17.89</v>
      </c>
      <c r="AF185" s="2">
        <v>51.7</v>
      </c>
      <c r="AG185" s="2">
        <v>38.5</v>
      </c>
      <c r="AH185" s="2">
        <v>13.2</v>
      </c>
      <c r="AI185" s="2">
        <v>19.03</v>
      </c>
      <c r="AJ185" s="2">
        <v>5.29</v>
      </c>
      <c r="AK185" s="2">
        <v>1.8149999999999999</v>
      </c>
      <c r="AL185" s="2">
        <v>1.466</v>
      </c>
      <c r="AM185" s="2">
        <v>0.86299999999999999</v>
      </c>
      <c r="AN185" s="2">
        <v>0.80700000000000005</v>
      </c>
      <c r="AO185" s="2">
        <v>2.661</v>
      </c>
      <c r="AP185" s="2">
        <v>0.77200000000000002</v>
      </c>
      <c r="AQ185" s="2">
        <v>0.96199999999999997</v>
      </c>
      <c r="AR185" s="2">
        <v>3.5139999999999998</v>
      </c>
      <c r="AS185" s="2">
        <v>50.78</v>
      </c>
      <c r="AT185" s="2">
        <v>406.6</v>
      </c>
      <c r="AU185" s="2">
        <v>1.127</v>
      </c>
      <c r="AV185" s="2">
        <v>0.03</v>
      </c>
      <c r="AW185" s="2">
        <v>0.249</v>
      </c>
      <c r="AX185" s="2">
        <v>0.35699999999999998</v>
      </c>
      <c r="AY185" s="2">
        <v>0.39400000000000002</v>
      </c>
      <c r="AZ185" s="2">
        <v>3.67</v>
      </c>
      <c r="BA185" s="2">
        <v>0.82</v>
      </c>
      <c r="BB185" s="2">
        <v>11.8</v>
      </c>
      <c r="BC185" s="2">
        <v>80</v>
      </c>
      <c r="BD185" s="2">
        <v>2.4</v>
      </c>
      <c r="BE185" s="2">
        <v>5.5</v>
      </c>
      <c r="BF185" s="2">
        <v>157</v>
      </c>
      <c r="BG185" s="2">
        <v>426</v>
      </c>
      <c r="BH185" s="2">
        <v>1159</v>
      </c>
      <c r="BI185" s="2">
        <v>310</v>
      </c>
      <c r="BJ185" s="2">
        <v>18</v>
      </c>
      <c r="BK185" s="2">
        <v>8.1</v>
      </c>
      <c r="BL185" s="2">
        <v>2.8</v>
      </c>
      <c r="BM185" s="2">
        <v>1</v>
      </c>
      <c r="BN185" s="2">
        <v>0.1</v>
      </c>
      <c r="BO185" s="2">
        <v>1.0900000000000001</v>
      </c>
      <c r="BP185" s="2">
        <v>5.8</v>
      </c>
      <c r="BQ185" s="2">
        <v>2.5499999999999998</v>
      </c>
    </row>
    <row r="186" spans="1:69" x14ac:dyDescent="0.2">
      <c r="A186">
        <v>20</v>
      </c>
      <c r="B186">
        <v>84</v>
      </c>
      <c r="C186" t="s">
        <v>1</v>
      </c>
      <c r="D186" t="s">
        <v>3</v>
      </c>
      <c r="E186">
        <v>3</v>
      </c>
      <c r="F186" s="2">
        <v>702.35121951219526</v>
      </c>
      <c r="G186" s="2">
        <v>589.05186060248093</v>
      </c>
      <c r="H186" s="2">
        <v>798.46243902439028</v>
      </c>
      <c r="I186" s="2">
        <v>1006.2223272297695</v>
      </c>
      <c r="J186" s="2">
        <v>1500.8136585365855</v>
      </c>
      <c r="K186" s="2">
        <v>1595.2741878322504</v>
      </c>
      <c r="L186" s="2">
        <v>-113.29935890971433</v>
      </c>
      <c r="M186" s="2">
        <v>94.460529295664855</v>
      </c>
      <c r="N186" s="2">
        <v>4.8085000000000004</v>
      </c>
      <c r="O186" s="2">
        <v>50.778999999999996</v>
      </c>
      <c r="P186" s="2">
        <v>0.3982</v>
      </c>
      <c r="Q186" s="2">
        <v>86.567399999999992</v>
      </c>
      <c r="R186" s="2">
        <v>62.733800000000002</v>
      </c>
      <c r="S186" s="2">
        <v>31.769600000000001</v>
      </c>
      <c r="T186" s="2">
        <v>104.39000000000001</v>
      </c>
      <c r="U186" s="2">
        <v>138.751</v>
      </c>
      <c r="V186" s="2">
        <v>169.31700000000001</v>
      </c>
      <c r="W186" s="2">
        <v>158.78960000000001</v>
      </c>
      <c r="X186" s="2">
        <v>32.1678</v>
      </c>
      <c r="Y186" s="2">
        <v>82.43</v>
      </c>
      <c r="Z186" s="2">
        <v>45.48</v>
      </c>
      <c r="AA186" s="2">
        <v>16.97</v>
      </c>
      <c r="AB186" s="2">
        <v>15.57</v>
      </c>
      <c r="AC186" s="2">
        <v>3.98</v>
      </c>
      <c r="AD186" s="2">
        <v>28.59</v>
      </c>
      <c r="AE186" s="2">
        <v>18.809999999999999</v>
      </c>
      <c r="AF186" s="2">
        <v>47.4</v>
      </c>
      <c r="AG186" s="2">
        <v>41.7</v>
      </c>
      <c r="AH186" s="2">
        <v>5.7</v>
      </c>
      <c r="AI186" s="2">
        <v>26.17</v>
      </c>
      <c r="AJ186" s="2">
        <v>8.86</v>
      </c>
      <c r="AK186" s="2">
        <v>1.7450000000000001</v>
      </c>
      <c r="AL186" s="2">
        <v>1.1910000000000001</v>
      </c>
      <c r="AM186" s="2">
        <v>0.75900000000000001</v>
      </c>
      <c r="AN186" s="2">
        <v>0.68300000000000005</v>
      </c>
      <c r="AO186" s="2">
        <v>2.0779999999999998</v>
      </c>
      <c r="AP186" s="2">
        <v>0.629</v>
      </c>
      <c r="AQ186" s="2">
        <v>1.0429999999999999</v>
      </c>
      <c r="AR186" s="2">
        <v>3.6259999999999999</v>
      </c>
      <c r="AS186" s="2">
        <v>41.69</v>
      </c>
      <c r="AT186" s="2">
        <v>330.3</v>
      </c>
      <c r="AU186" s="2">
        <v>1.141</v>
      </c>
      <c r="AV186" s="2">
        <v>7.0000000000000007E-2</v>
      </c>
      <c r="AW186" s="2">
        <v>0.19700000000000001</v>
      </c>
      <c r="AX186" s="2">
        <v>0.307</v>
      </c>
      <c r="AY186" s="2">
        <v>0.496</v>
      </c>
      <c r="AZ186" s="2">
        <v>1.1399999999999999</v>
      </c>
      <c r="BA186" s="2">
        <v>0.92</v>
      </c>
      <c r="BB186" s="2">
        <v>13</v>
      </c>
      <c r="BC186" s="2">
        <v>87</v>
      </c>
      <c r="BD186" s="2">
        <v>1.7</v>
      </c>
      <c r="BE186" s="2">
        <v>6</v>
      </c>
      <c r="BF186" s="2">
        <v>60</v>
      </c>
      <c r="BG186" s="2">
        <v>146</v>
      </c>
      <c r="BH186" s="2">
        <v>1498</v>
      </c>
      <c r="BI186" s="2">
        <v>425</v>
      </c>
      <c r="BJ186" s="2">
        <v>19</v>
      </c>
      <c r="BK186" s="2">
        <v>9.5</v>
      </c>
      <c r="BL186" s="2">
        <v>6.5</v>
      </c>
      <c r="BM186" s="2">
        <v>2.6</v>
      </c>
      <c r="BN186" s="2">
        <v>0.1</v>
      </c>
      <c r="BO186" s="2">
        <v>0.37</v>
      </c>
      <c r="BP186" s="2">
        <v>7.49</v>
      </c>
      <c r="BQ186" s="2">
        <v>3.5</v>
      </c>
    </row>
    <row r="187" spans="1:69" x14ac:dyDescent="0.2">
      <c r="A187">
        <v>20</v>
      </c>
      <c r="B187">
        <v>99</v>
      </c>
      <c r="C187" t="s">
        <v>1</v>
      </c>
      <c r="D187" t="s">
        <v>5</v>
      </c>
      <c r="E187">
        <v>4</v>
      </c>
      <c r="F187" s="2">
        <v>327.8232701178884</v>
      </c>
      <c r="G187" s="2">
        <v>524.04876510772476</v>
      </c>
      <c r="H187" s="2">
        <v>573.30230650948226</v>
      </c>
      <c r="I187" s="2">
        <v>645.10562270099831</v>
      </c>
      <c r="J187" s="2">
        <v>901.12557662737072</v>
      </c>
      <c r="K187" s="2">
        <v>1169.1543878087232</v>
      </c>
      <c r="L187" s="2">
        <v>196.22549498983636</v>
      </c>
      <c r="M187" s="2">
        <v>268.02881118135247</v>
      </c>
      <c r="N187" s="2">
        <v>2.165</v>
      </c>
      <c r="O187" s="2">
        <v>31.18</v>
      </c>
      <c r="P187" s="2">
        <v>0.54120000000000001</v>
      </c>
      <c r="Q187" s="2">
        <v>10.7178</v>
      </c>
      <c r="R187" s="2">
        <v>14.148199999999997</v>
      </c>
      <c r="S187" s="2">
        <v>23.589400000000001</v>
      </c>
      <c r="T187" s="2">
        <v>109.92919999999999</v>
      </c>
      <c r="U187" s="2">
        <v>104.74420000000001</v>
      </c>
      <c r="V187" s="2">
        <v>94.761800000000008</v>
      </c>
      <c r="W187" s="2">
        <v>96.51639999999999</v>
      </c>
      <c r="X187" s="2">
        <v>24.130600000000001</v>
      </c>
      <c r="Y187" s="2">
        <v>81.66</v>
      </c>
      <c r="Z187" s="2">
        <v>51.75</v>
      </c>
      <c r="AA187" s="2">
        <v>16.03</v>
      </c>
      <c r="AB187" s="2">
        <v>11.01</v>
      </c>
      <c r="AC187" s="2">
        <v>2.4700000000000002</v>
      </c>
      <c r="AD187" s="2">
        <v>41.12</v>
      </c>
      <c r="AE187" s="2">
        <v>21.03</v>
      </c>
      <c r="AF187" s="2">
        <v>62.2</v>
      </c>
      <c r="AG187" s="2">
        <v>41.3</v>
      </c>
      <c r="AH187" s="2">
        <v>20.8</v>
      </c>
      <c r="AI187" s="2">
        <v>15.12</v>
      </c>
      <c r="AJ187" s="2">
        <v>4.3899999999999997</v>
      </c>
      <c r="AK187" s="2">
        <v>1.966</v>
      </c>
      <c r="AL187" s="2">
        <v>1.6379999999999999</v>
      </c>
      <c r="AM187" s="2">
        <v>0.91700000000000004</v>
      </c>
      <c r="AN187" s="2">
        <v>0.83299999999999996</v>
      </c>
      <c r="AO187" s="2">
        <v>3.2210000000000001</v>
      </c>
      <c r="AP187" s="2">
        <v>0.79500000000000004</v>
      </c>
      <c r="AQ187" s="2">
        <v>1.034</v>
      </c>
      <c r="AR187" s="2">
        <v>1.913</v>
      </c>
      <c r="AS187" s="2">
        <v>28.7</v>
      </c>
      <c r="AT187" s="2">
        <v>330</v>
      </c>
      <c r="AU187" s="2">
        <v>1.218</v>
      </c>
      <c r="AV187" s="2">
        <v>0.1</v>
      </c>
      <c r="AW187" s="2">
        <v>0.186</v>
      </c>
      <c r="AX187" s="2">
        <v>0.248</v>
      </c>
      <c r="AY187" s="2">
        <v>0.56599999999999995</v>
      </c>
      <c r="AZ187" s="2">
        <v>1.87</v>
      </c>
      <c r="BA187" s="2">
        <v>0.92</v>
      </c>
      <c r="BB187" s="2">
        <v>10.199999999999999</v>
      </c>
      <c r="BC187" s="2">
        <v>86</v>
      </c>
      <c r="BD187" s="2">
        <v>1.4</v>
      </c>
      <c r="BE187" s="2">
        <v>5.8</v>
      </c>
      <c r="BF187" s="2">
        <v>78</v>
      </c>
      <c r="BG187" s="2">
        <v>217</v>
      </c>
      <c r="BH187" s="2">
        <v>1118</v>
      </c>
      <c r="BI187" s="2">
        <v>324</v>
      </c>
      <c r="BJ187" s="2">
        <v>13</v>
      </c>
      <c r="BK187" s="2">
        <v>3.5</v>
      </c>
      <c r="BL187" s="2">
        <v>7.8</v>
      </c>
      <c r="BM187" s="2">
        <v>3.9</v>
      </c>
      <c r="BN187" s="2">
        <v>0.1</v>
      </c>
      <c r="BO187" s="2">
        <v>0.56000000000000005</v>
      </c>
      <c r="BP187" s="2">
        <v>5.59</v>
      </c>
      <c r="BQ187" s="2">
        <v>2.66</v>
      </c>
    </row>
    <row r="188" spans="1:69" x14ac:dyDescent="0.2">
      <c r="A188">
        <v>20</v>
      </c>
      <c r="B188">
        <v>124</v>
      </c>
      <c r="C188" t="s">
        <v>1</v>
      </c>
      <c r="D188" t="s">
        <v>5</v>
      </c>
      <c r="E188">
        <v>2</v>
      </c>
      <c r="F188" s="2">
        <v>630.43376822716834</v>
      </c>
      <c r="G188" s="2">
        <v>759.26765655261477</v>
      </c>
      <c r="H188" s="2">
        <v>1123.6144282425171</v>
      </c>
      <c r="I188" s="2">
        <v>1391.3384118786312</v>
      </c>
      <c r="J188" s="2">
        <v>1754.0481964696855</v>
      </c>
      <c r="K188" s="2">
        <v>2150.6060684312461</v>
      </c>
      <c r="L188" s="2">
        <v>128.83388832544642</v>
      </c>
      <c r="M188" s="2">
        <v>396.55787196156052</v>
      </c>
      <c r="N188" s="2">
        <v>7.5183999999999997</v>
      </c>
      <c r="O188" s="2">
        <v>121.50999999999999</v>
      </c>
      <c r="P188" s="2">
        <v>0.42359999999999998</v>
      </c>
      <c r="Q188" s="2">
        <v>0.12940000000000002</v>
      </c>
      <c r="R188" s="2">
        <v>7.1714000000000002</v>
      </c>
      <c r="S188" s="2">
        <v>51.887599999999999</v>
      </c>
      <c r="T188" s="2">
        <v>55.7654</v>
      </c>
      <c r="U188" s="2">
        <v>214.8348</v>
      </c>
      <c r="V188" s="2">
        <v>169.69499999999999</v>
      </c>
      <c r="W188" s="2">
        <v>3.583599999999997</v>
      </c>
      <c r="X188" s="2">
        <v>52.311199999999999</v>
      </c>
      <c r="Y188" s="2">
        <v>57.44</v>
      </c>
      <c r="Z188" s="2">
        <v>22.3</v>
      </c>
      <c r="AA188" s="2">
        <v>18.59</v>
      </c>
      <c r="AB188" s="2">
        <v>13.7</v>
      </c>
      <c r="AC188" s="2">
        <v>2.33</v>
      </c>
      <c r="AD188" s="2">
        <v>22.65</v>
      </c>
      <c r="AE188" s="2">
        <v>18.510000000000002</v>
      </c>
      <c r="AF188" s="2">
        <v>41.2</v>
      </c>
      <c r="AG188" s="2">
        <v>29.1</v>
      </c>
      <c r="AH188" s="2">
        <v>12.1</v>
      </c>
      <c r="AI188" s="2">
        <v>12.91</v>
      </c>
      <c r="AJ188" s="2">
        <v>3.37</v>
      </c>
      <c r="AK188" s="2">
        <v>1.3560000000000001</v>
      </c>
      <c r="AL188" s="2">
        <v>1.371</v>
      </c>
      <c r="AM188" s="2">
        <v>1.0069999999999999</v>
      </c>
      <c r="AN188" s="2">
        <v>1.0109999999999999</v>
      </c>
      <c r="AO188" s="2">
        <v>1.859</v>
      </c>
      <c r="AP188" s="2">
        <v>1.016</v>
      </c>
      <c r="AQ188" s="2">
        <v>0.72699999999999998</v>
      </c>
      <c r="AR188" s="2">
        <v>6.516</v>
      </c>
      <c r="AS188" s="2">
        <v>115.2</v>
      </c>
      <c r="AT188" s="2">
        <v>715.1</v>
      </c>
      <c r="AU188" s="2">
        <v>0.54600000000000004</v>
      </c>
      <c r="AV188" s="2">
        <v>1.57</v>
      </c>
      <c r="AW188" s="2">
        <v>0.16800000000000001</v>
      </c>
      <c r="AX188" s="2">
        <v>0.21099999999999999</v>
      </c>
      <c r="AY188" s="2">
        <v>0.621</v>
      </c>
      <c r="AZ188" s="2">
        <v>2.0099999999999998</v>
      </c>
      <c r="BA188" s="2">
        <v>0.56000000000000005</v>
      </c>
      <c r="BB188" s="2">
        <v>10.4</v>
      </c>
      <c r="BC188" s="2">
        <v>54</v>
      </c>
      <c r="BD188" s="2">
        <v>4.8</v>
      </c>
      <c r="BE188" s="2">
        <v>4.5999999999999996</v>
      </c>
      <c r="BF188" s="2">
        <v>98</v>
      </c>
      <c r="BG188" s="2">
        <v>81</v>
      </c>
      <c r="BH188" s="2">
        <v>838</v>
      </c>
      <c r="BI188" s="2">
        <v>150</v>
      </c>
      <c r="BJ188" s="2">
        <v>27</v>
      </c>
      <c r="BK188" s="2">
        <v>4.5999999999999996</v>
      </c>
      <c r="BL188" s="2">
        <v>5.4</v>
      </c>
      <c r="BM188" s="2">
        <v>0.5</v>
      </c>
      <c r="BN188" s="2">
        <v>0.1</v>
      </c>
      <c r="BO188" s="2">
        <v>0.21</v>
      </c>
      <c r="BP188" s="2">
        <v>4.1900000000000004</v>
      </c>
      <c r="BQ188" s="2">
        <v>1.23</v>
      </c>
    </row>
    <row r="189" spans="1:69" x14ac:dyDescent="0.2">
      <c r="A189">
        <v>10</v>
      </c>
      <c r="B189">
        <v>130</v>
      </c>
      <c r="C189" t="s">
        <v>1</v>
      </c>
      <c r="D189" t="s">
        <v>0</v>
      </c>
      <c r="E189">
        <v>3</v>
      </c>
      <c r="F189" s="2">
        <v>638.65925133689802</v>
      </c>
      <c r="G189" s="2">
        <v>731.21052631578925</v>
      </c>
      <c r="H189" s="2">
        <v>1081.1820320855618</v>
      </c>
      <c r="I189" s="2">
        <v>1187.2200000000003</v>
      </c>
      <c r="J189" s="2">
        <v>1719.8412834224598</v>
      </c>
      <c r="K189" s="2">
        <v>1918.4305263157894</v>
      </c>
      <c r="L189" s="2">
        <v>92.551274978891229</v>
      </c>
      <c r="M189" s="2">
        <v>198.58924289332958</v>
      </c>
      <c r="N189" s="2">
        <v>4.2712000000000003</v>
      </c>
      <c r="O189" s="2">
        <v>47.064000000000007</v>
      </c>
      <c r="P189" s="2">
        <v>-2.1000000000000005E-2</v>
      </c>
      <c r="Q189" s="2">
        <v>18.51763085399449</v>
      </c>
      <c r="R189" s="2">
        <v>12.784569138276552</v>
      </c>
      <c r="S189" s="2">
        <v>34.641199999999998</v>
      </c>
      <c r="T189" s="2">
        <v>163.53030303030303</v>
      </c>
      <c r="U189" s="2">
        <v>170.27935871743483</v>
      </c>
      <c r="V189" s="2">
        <v>148.44372785571136</v>
      </c>
      <c r="W189" s="2">
        <v>147.42773388429754</v>
      </c>
      <c r="X189" s="2">
        <v>34.620199999999997</v>
      </c>
      <c r="Y189" s="2">
        <v>84.38</v>
      </c>
      <c r="Z189" s="2">
        <v>31.06</v>
      </c>
      <c r="AA189" s="2">
        <v>22.66</v>
      </c>
      <c r="AB189" s="2">
        <v>25.47</v>
      </c>
      <c r="AC189" s="2">
        <v>4.68</v>
      </c>
      <c r="AD189" s="2">
        <v>20.84</v>
      </c>
      <c r="AE189" s="2">
        <v>25.97</v>
      </c>
      <c r="AF189" s="2">
        <v>46.8</v>
      </c>
      <c r="AG189" s="2">
        <v>42.7</v>
      </c>
      <c r="AH189" s="2">
        <v>4.0999999999999996</v>
      </c>
      <c r="AI189" s="2">
        <v>32.58</v>
      </c>
      <c r="AJ189" s="2">
        <v>4.99</v>
      </c>
      <c r="AK189" s="2">
        <v>1.274</v>
      </c>
      <c r="AL189" s="2">
        <v>0.96299999999999997</v>
      </c>
      <c r="AM189" s="2">
        <v>0.871</v>
      </c>
      <c r="AN189" s="2">
        <v>0.75600000000000001</v>
      </c>
      <c r="AO189" s="2">
        <v>1.226</v>
      </c>
      <c r="AP189" s="2">
        <v>0.67100000000000004</v>
      </c>
      <c r="AQ189" s="2">
        <v>1.0680000000000001</v>
      </c>
      <c r="AR189" s="2">
        <v>3.3559999999999999</v>
      </c>
      <c r="AS189" s="2">
        <v>38.93</v>
      </c>
      <c r="AT189" s="2">
        <v>509.3</v>
      </c>
      <c r="AU189" s="2">
        <v>1.123</v>
      </c>
      <c r="AV189" s="2">
        <v>0.23</v>
      </c>
      <c r="AW189" s="2">
        <v>0.114</v>
      </c>
      <c r="AX189" s="2">
        <v>0.218</v>
      </c>
      <c r="AY189" s="2">
        <v>0.66800000000000004</v>
      </c>
      <c r="AZ189" s="2">
        <v>1.43</v>
      </c>
      <c r="BA189" s="2">
        <v>0.89</v>
      </c>
      <c r="BB189" s="2">
        <v>13.8</v>
      </c>
      <c r="BC189" s="2">
        <v>91</v>
      </c>
      <c r="BD189" s="2">
        <v>1.2</v>
      </c>
      <c r="BE189" s="2">
        <v>6.2</v>
      </c>
      <c r="BF189" s="2">
        <v>147</v>
      </c>
      <c r="BG189" s="2">
        <v>169</v>
      </c>
      <c r="BH189" s="2">
        <v>1755</v>
      </c>
      <c r="BI189" s="2">
        <v>404</v>
      </c>
      <c r="BJ189" s="2">
        <v>20</v>
      </c>
      <c r="BK189" s="2">
        <v>15</v>
      </c>
      <c r="BL189" s="2">
        <v>6.8</v>
      </c>
      <c r="BM189" s="2">
        <v>1.6</v>
      </c>
      <c r="BN189" s="2">
        <v>0.1</v>
      </c>
      <c r="BO189" s="2">
        <v>0.43</v>
      </c>
      <c r="BP189" s="2">
        <v>8.7799999999999994</v>
      </c>
      <c r="BQ189" s="2">
        <v>3.32</v>
      </c>
    </row>
    <row r="190" spans="1:69" x14ac:dyDescent="0.2">
      <c r="A190">
        <v>10</v>
      </c>
      <c r="B190">
        <v>164</v>
      </c>
      <c r="C190" t="s">
        <v>1</v>
      </c>
      <c r="D190" t="s">
        <v>3</v>
      </c>
      <c r="E190">
        <v>4</v>
      </c>
      <c r="F190" s="2">
        <v>451.02585533869029</v>
      </c>
      <c r="G190" s="2">
        <v>479.31038883349913</v>
      </c>
      <c r="H190" s="2">
        <v>678.62686567164144</v>
      </c>
      <c r="I190" s="2">
        <v>770.64406779661022</v>
      </c>
      <c r="J190" s="2">
        <v>1129.6527210103318</v>
      </c>
      <c r="K190" s="2">
        <v>1249.9544566301092</v>
      </c>
      <c r="L190" s="2">
        <v>28.284533494808841</v>
      </c>
      <c r="M190" s="2">
        <v>120.30173561977745</v>
      </c>
      <c r="N190" s="2">
        <v>3.7711000000000001</v>
      </c>
      <c r="O190" s="2">
        <v>51.233000000000004</v>
      </c>
      <c r="P190" s="2">
        <v>0.3004</v>
      </c>
      <c r="Q190" s="2">
        <v>13.636284470246736</v>
      </c>
      <c r="R190" s="2">
        <v>11.564583333333335</v>
      </c>
      <c r="S190" s="2">
        <v>44.0334</v>
      </c>
      <c r="T190" s="2">
        <v>130.01915820029029</v>
      </c>
      <c r="U190" s="2">
        <v>139.2925925925926</v>
      </c>
      <c r="V190" s="2">
        <v>106.52337592592593</v>
      </c>
      <c r="W190" s="2">
        <v>99.321642670537017</v>
      </c>
      <c r="X190" s="2">
        <v>44.333800000000004</v>
      </c>
      <c r="Y190" s="2">
        <v>86.41</v>
      </c>
      <c r="Z190" s="2">
        <v>43.62</v>
      </c>
      <c r="AA190" s="2">
        <v>19.03</v>
      </c>
      <c r="AB190" s="2">
        <v>19.05</v>
      </c>
      <c r="AC190" s="2">
        <v>4.3099999999999996</v>
      </c>
      <c r="AD190" s="2">
        <v>19.72</v>
      </c>
      <c r="AE190" s="2">
        <v>20.059999999999999</v>
      </c>
      <c r="AF190" s="2">
        <v>39.799999999999997</v>
      </c>
      <c r="AG190" s="2">
        <v>43.8</v>
      </c>
      <c r="AH190" s="2">
        <v>-4</v>
      </c>
      <c r="AI190" s="2">
        <v>38.340000000000003</v>
      </c>
      <c r="AJ190" s="2">
        <v>8.2899999999999991</v>
      </c>
      <c r="AK190" s="2">
        <v>1.6240000000000001</v>
      </c>
      <c r="AL190" s="2">
        <v>0.871</v>
      </c>
      <c r="AM190" s="2">
        <v>0.63500000000000001</v>
      </c>
      <c r="AN190" s="2">
        <v>0.53700000000000003</v>
      </c>
      <c r="AO190" s="2">
        <v>1.415</v>
      </c>
      <c r="AP190" s="2">
        <v>0.45200000000000001</v>
      </c>
      <c r="AQ190" s="2">
        <v>1.0940000000000001</v>
      </c>
      <c r="AR190" s="2">
        <v>2.726</v>
      </c>
      <c r="AS190" s="2">
        <v>40.97</v>
      </c>
      <c r="AT190" s="2">
        <v>262.2</v>
      </c>
      <c r="AU190" s="2">
        <v>1.2250000000000001</v>
      </c>
      <c r="AV190" s="2">
        <v>0</v>
      </c>
      <c r="AW190" s="2">
        <v>0.23300000000000001</v>
      </c>
      <c r="AX190" s="2">
        <v>0.29199999999999998</v>
      </c>
      <c r="AY190" s="2">
        <v>0.47499999999999998</v>
      </c>
      <c r="AZ190" s="2">
        <v>2.29</v>
      </c>
      <c r="BA190" s="2">
        <v>0.89</v>
      </c>
      <c r="BB190" s="2">
        <v>14.2</v>
      </c>
      <c r="BC190" s="2">
        <v>87</v>
      </c>
      <c r="BD190" s="2">
        <v>1.9</v>
      </c>
      <c r="BE190" s="2">
        <v>5.9</v>
      </c>
      <c r="BF190" s="2">
        <v>87</v>
      </c>
      <c r="BG190" s="2">
        <v>84</v>
      </c>
      <c r="BH190" s="2">
        <v>1728</v>
      </c>
      <c r="BI190" s="2">
        <v>423</v>
      </c>
      <c r="BJ190" s="2">
        <v>17</v>
      </c>
      <c r="BK190" s="2">
        <v>9.1</v>
      </c>
      <c r="BL190" s="2">
        <v>3.5</v>
      </c>
      <c r="BM190" s="2">
        <v>1.5</v>
      </c>
      <c r="BN190" s="2">
        <v>0.1</v>
      </c>
      <c r="BO190" s="2">
        <v>0.21</v>
      </c>
      <c r="BP190" s="2">
        <v>8.64</v>
      </c>
      <c r="BQ190" s="2">
        <v>3.48</v>
      </c>
    </row>
    <row r="191" spans="1:69" x14ac:dyDescent="0.2">
      <c r="A191">
        <v>10</v>
      </c>
      <c r="B191">
        <v>187</v>
      </c>
      <c r="C191" t="s">
        <v>1</v>
      </c>
      <c r="D191" t="s">
        <v>5</v>
      </c>
      <c r="E191">
        <v>1</v>
      </c>
      <c r="F191" s="2">
        <v>445.17623762376184</v>
      </c>
      <c r="G191" s="2">
        <v>478.61052631578895</v>
      </c>
      <c r="H191" s="2">
        <v>1538.1089108910887</v>
      </c>
      <c r="I191" s="2">
        <v>1655.1947368421052</v>
      </c>
      <c r="J191" s="2">
        <v>1983.2851485148506</v>
      </c>
      <c r="K191" s="2">
        <v>2133.8052631578939</v>
      </c>
      <c r="L191" s="2">
        <v>33.43428869202711</v>
      </c>
      <c r="M191" s="2">
        <v>150.52011464304337</v>
      </c>
      <c r="N191" s="2">
        <v>7.1497000000000002</v>
      </c>
      <c r="O191" s="2">
        <v>132.34</v>
      </c>
      <c r="P191" s="2">
        <v>0.77246376811594208</v>
      </c>
      <c r="Q191" s="2">
        <v>0.44431818181818172</v>
      </c>
      <c r="R191" s="2" t="s">
        <v>14</v>
      </c>
      <c r="S191" s="2">
        <v>68.794565217391309</v>
      </c>
      <c r="T191" s="2">
        <v>111.72424242424242</v>
      </c>
      <c r="U191" s="2" t="s">
        <v>14</v>
      </c>
      <c r="V191" s="2" t="s">
        <v>14</v>
      </c>
      <c r="W191" s="2">
        <v>42.601531620553345</v>
      </c>
      <c r="X191" s="2">
        <v>69.56702898550725</v>
      </c>
      <c r="Y191" s="2">
        <v>56.59</v>
      </c>
      <c r="Z191" s="2">
        <v>16.63</v>
      </c>
      <c r="AA191" s="2">
        <v>17.53</v>
      </c>
      <c r="AB191" s="2">
        <v>17.86</v>
      </c>
      <c r="AC191" s="2">
        <v>4.0599999999999996</v>
      </c>
      <c r="AD191" s="2">
        <v>17.2</v>
      </c>
      <c r="AE191" s="2">
        <v>17.75</v>
      </c>
      <c r="AF191" s="2">
        <v>35</v>
      </c>
      <c r="AG191" s="2">
        <v>28.7</v>
      </c>
      <c r="AH191" s="2">
        <v>6.3</v>
      </c>
      <c r="AI191" s="2">
        <v>17.579999999999998</v>
      </c>
      <c r="AJ191" s="2">
        <v>4.0599999999999996</v>
      </c>
      <c r="AK191" s="2">
        <v>1.0880000000000001</v>
      </c>
      <c r="AL191" s="2">
        <v>1.119</v>
      </c>
      <c r="AM191" s="2">
        <v>1.0229999999999999</v>
      </c>
      <c r="AN191" s="2">
        <v>1.028</v>
      </c>
      <c r="AO191" s="2">
        <v>1.218</v>
      </c>
      <c r="AP191" s="2">
        <v>1.034</v>
      </c>
      <c r="AQ191" s="2">
        <v>0.71599999999999997</v>
      </c>
      <c r="AR191" s="2">
        <v>5.6619999999999999</v>
      </c>
      <c r="AS191" s="2">
        <v>113.36</v>
      </c>
      <c r="AT191" s="2">
        <v>513.4</v>
      </c>
      <c r="AU191" s="2">
        <v>0.55000000000000004</v>
      </c>
      <c r="AV191" s="2">
        <v>0.61</v>
      </c>
      <c r="AW191" s="2">
        <v>0.17100000000000001</v>
      </c>
      <c r="AX191" s="2">
        <v>0.253</v>
      </c>
      <c r="AY191" s="2">
        <v>0.57599999999999996</v>
      </c>
      <c r="AZ191" s="2">
        <v>2.6</v>
      </c>
      <c r="BA191" s="2">
        <v>0.61</v>
      </c>
      <c r="BB191" s="2">
        <v>7.7</v>
      </c>
      <c r="BC191" s="2">
        <v>22</v>
      </c>
      <c r="BD191" s="2">
        <v>6</v>
      </c>
      <c r="BE191" s="2">
        <v>4.2</v>
      </c>
      <c r="BF191" s="2">
        <v>67</v>
      </c>
      <c r="BG191" s="2">
        <v>50</v>
      </c>
      <c r="BH191" s="2">
        <v>206</v>
      </c>
      <c r="BI191" s="2">
        <v>71</v>
      </c>
      <c r="BJ191" s="2">
        <v>52</v>
      </c>
      <c r="BK191" s="2">
        <v>2.1</v>
      </c>
      <c r="BL191" s="2">
        <v>2</v>
      </c>
      <c r="BM191" s="2">
        <v>0.4</v>
      </c>
      <c r="BN191" s="2">
        <v>0.2</v>
      </c>
      <c r="BO191" s="2">
        <v>0.13</v>
      </c>
      <c r="BP191" s="2">
        <v>1.03</v>
      </c>
      <c r="BQ191" s="2">
        <v>0.57999999999999996</v>
      </c>
    </row>
    <row r="192" spans="1:69" x14ac:dyDescent="0.2">
      <c r="A192">
        <v>10</v>
      </c>
      <c r="B192">
        <v>221</v>
      </c>
      <c r="C192" t="s">
        <v>1</v>
      </c>
      <c r="D192" t="s">
        <v>3</v>
      </c>
      <c r="E192">
        <v>2</v>
      </c>
      <c r="F192" s="2">
        <v>194.29889014722499</v>
      </c>
      <c r="G192" s="2">
        <v>253.51854545454503</v>
      </c>
      <c r="H192" s="2">
        <v>497.76217440543576</v>
      </c>
      <c r="I192" s="2">
        <v>613.12909090909056</v>
      </c>
      <c r="J192" s="2">
        <v>692.06106455266081</v>
      </c>
      <c r="K192" s="2">
        <v>866.64763636363557</v>
      </c>
      <c r="L192" s="2">
        <v>59.219655307320039</v>
      </c>
      <c r="M192" s="2">
        <v>174.58657181097476</v>
      </c>
      <c r="N192" s="2">
        <v>3.6707000000000001</v>
      </c>
      <c r="O192" s="2">
        <v>44.027999999999999</v>
      </c>
      <c r="P192" s="2">
        <v>0.67900000000000005</v>
      </c>
      <c r="Q192" s="2">
        <v>10.17859872611465</v>
      </c>
      <c r="R192" s="2">
        <v>6.9116580310880824</v>
      </c>
      <c r="S192" s="2">
        <v>44.101999999999997</v>
      </c>
      <c r="T192" s="2">
        <v>82.58547770700639</v>
      </c>
      <c r="U192" s="2">
        <v>90.768911917098436</v>
      </c>
      <c r="V192" s="2">
        <v>52.899569948186517</v>
      </c>
      <c r="W192" s="2">
        <v>47.983076433121035</v>
      </c>
      <c r="X192" s="2">
        <v>44.780999999999999</v>
      </c>
      <c r="Y192" s="2">
        <v>74.790000000000006</v>
      </c>
      <c r="Z192" s="2">
        <v>48.73</v>
      </c>
      <c r="AA192" s="2">
        <v>16.54</v>
      </c>
      <c r="AB192" s="2">
        <v>6.82</v>
      </c>
      <c r="AC192" s="2">
        <v>2.35</v>
      </c>
      <c r="AD192" s="2">
        <v>15.34</v>
      </c>
      <c r="AE192" s="2">
        <v>20.8</v>
      </c>
      <c r="AF192" s="2">
        <v>36.1</v>
      </c>
      <c r="AG192" s="2">
        <v>37.9</v>
      </c>
      <c r="AH192" s="2">
        <v>-1.7</v>
      </c>
      <c r="AI192" s="2">
        <v>30.91</v>
      </c>
      <c r="AJ192" s="2">
        <v>7.74</v>
      </c>
      <c r="AK192" s="2">
        <v>2.0259999999999998</v>
      </c>
      <c r="AL192" s="2">
        <v>0.82899999999999996</v>
      </c>
      <c r="AM192" s="2">
        <v>0.55400000000000005</v>
      </c>
      <c r="AN192" s="2">
        <v>0.40899999999999997</v>
      </c>
      <c r="AO192" s="2">
        <v>1.68</v>
      </c>
      <c r="AP192" s="2">
        <v>0.315</v>
      </c>
      <c r="AQ192" s="2">
        <v>0.94699999999999995</v>
      </c>
      <c r="AR192" s="2">
        <v>3.1219999999999999</v>
      </c>
      <c r="AS192" s="2">
        <v>39.31</v>
      </c>
      <c r="AT192" s="2">
        <v>190.7</v>
      </c>
      <c r="AU192" s="2">
        <v>1.071</v>
      </c>
      <c r="AV192" s="2">
        <v>0.03</v>
      </c>
      <c r="AW192" s="2">
        <v>0.34399999999999997</v>
      </c>
      <c r="AX192" s="2">
        <v>0.372</v>
      </c>
      <c r="AY192" s="2">
        <v>0.28499999999999998</v>
      </c>
      <c r="AZ192" s="2">
        <v>1.87</v>
      </c>
      <c r="BA192" s="2">
        <v>0.82</v>
      </c>
      <c r="BB192" s="2">
        <v>12.9</v>
      </c>
      <c r="BC192" s="2">
        <v>80</v>
      </c>
      <c r="BD192" s="2">
        <v>2.6</v>
      </c>
      <c r="BE192" s="2">
        <v>5.7</v>
      </c>
      <c r="BF192" s="2">
        <v>90</v>
      </c>
      <c r="BG192" s="2">
        <v>335</v>
      </c>
      <c r="BH192" s="2">
        <v>1300</v>
      </c>
      <c r="BI192" s="2">
        <v>359</v>
      </c>
      <c r="BJ192" s="2">
        <v>17</v>
      </c>
      <c r="BK192" s="2">
        <v>4.9000000000000004</v>
      </c>
      <c r="BL192" s="2">
        <v>1.7</v>
      </c>
      <c r="BM192" s="2">
        <v>1.1000000000000001</v>
      </c>
      <c r="BN192" s="2">
        <v>0.1</v>
      </c>
      <c r="BO192" s="2">
        <v>0.86</v>
      </c>
      <c r="BP192" s="2">
        <v>6.5</v>
      </c>
      <c r="BQ192" s="2">
        <v>2.95</v>
      </c>
    </row>
    <row r="193" spans="1:69" x14ac:dyDescent="0.2">
      <c r="A193">
        <v>10</v>
      </c>
      <c r="B193">
        <v>246</v>
      </c>
      <c r="C193" t="s">
        <v>1</v>
      </c>
      <c r="D193" t="s">
        <v>3</v>
      </c>
      <c r="E193">
        <v>1</v>
      </c>
      <c r="F193" s="2">
        <v>266.0872398190042</v>
      </c>
      <c r="G193" s="2">
        <v>236.81249999999986</v>
      </c>
      <c r="H193" s="2">
        <v>486.91221719457019</v>
      </c>
      <c r="I193" s="2">
        <v>1029.4378676470587</v>
      </c>
      <c r="J193" s="2">
        <v>752.99945701357433</v>
      </c>
      <c r="K193" s="2">
        <v>1266.2503676470585</v>
      </c>
      <c r="L193" s="2">
        <v>-29.274739819004338</v>
      </c>
      <c r="M193" s="2">
        <v>513.25091063348418</v>
      </c>
      <c r="N193" s="2">
        <v>1.6040999999999999</v>
      </c>
      <c r="O193" s="2">
        <v>27.395999999999997</v>
      </c>
      <c r="P193" s="2">
        <v>0.4496</v>
      </c>
      <c r="Q193" s="2">
        <v>7.1007984031936129</v>
      </c>
      <c r="R193" s="2">
        <v>18.194610778443117</v>
      </c>
      <c r="S193" s="2">
        <v>17.8718</v>
      </c>
      <c r="T193" s="2">
        <v>54.000998003992024</v>
      </c>
      <c r="U193" s="2">
        <v>37.5624750499002</v>
      </c>
      <c r="V193" s="2">
        <v>37.435685828343324</v>
      </c>
      <c r="W193" s="2">
        <v>42.780396407185634</v>
      </c>
      <c r="X193" s="2">
        <v>18.321400000000001</v>
      </c>
      <c r="Y193" s="2">
        <v>92.42</v>
      </c>
      <c r="Z193" s="2">
        <v>42.04</v>
      </c>
      <c r="AA193" s="2">
        <v>26.44</v>
      </c>
      <c r="AB193" s="2">
        <v>20.25</v>
      </c>
      <c r="AC193" s="2">
        <v>3.3</v>
      </c>
      <c r="AD193" s="2">
        <v>11.51</v>
      </c>
      <c r="AE193" s="2">
        <v>40.08</v>
      </c>
      <c r="AF193" s="2">
        <v>51.6</v>
      </c>
      <c r="AG193" s="2">
        <v>46.8</v>
      </c>
      <c r="AH193" s="2">
        <v>4.8</v>
      </c>
      <c r="AI193" s="2">
        <v>33.58</v>
      </c>
      <c r="AJ193" s="2">
        <v>7.25</v>
      </c>
      <c r="AK193" s="2">
        <v>1.5209999999999999</v>
      </c>
      <c r="AL193" s="2">
        <v>0.68700000000000006</v>
      </c>
      <c r="AM193" s="2">
        <v>0.753</v>
      </c>
      <c r="AN193" s="2">
        <v>0.45100000000000001</v>
      </c>
      <c r="AO193" s="2">
        <v>1.044</v>
      </c>
      <c r="AP193" s="2">
        <v>0.27400000000000002</v>
      </c>
      <c r="AQ193" s="2">
        <v>1.17</v>
      </c>
      <c r="AR193" s="2">
        <v>1.585</v>
      </c>
      <c r="AS193" s="2">
        <v>29.72</v>
      </c>
      <c r="AT193" s="2">
        <v>199</v>
      </c>
      <c r="AU193" s="2">
        <v>1.3120000000000001</v>
      </c>
      <c r="AV193" s="2">
        <v>0.16</v>
      </c>
      <c r="AW193" s="2">
        <v>0.13500000000000001</v>
      </c>
      <c r="AX193" s="2">
        <v>0.217</v>
      </c>
      <c r="AY193" s="2">
        <v>0.64800000000000002</v>
      </c>
      <c r="AZ193" s="2">
        <v>2.84</v>
      </c>
      <c r="BA193" s="2">
        <v>1.05</v>
      </c>
      <c r="BB193" s="2">
        <v>10.9</v>
      </c>
      <c r="BC193" s="2">
        <v>86</v>
      </c>
      <c r="BD193" s="2">
        <v>1.5</v>
      </c>
      <c r="BE193" s="2">
        <v>6.1</v>
      </c>
      <c r="BF193" s="2">
        <v>111</v>
      </c>
      <c r="BG193" s="2">
        <v>134</v>
      </c>
      <c r="BH193" s="2">
        <v>1344</v>
      </c>
      <c r="BI193" s="2">
        <v>279</v>
      </c>
      <c r="BJ193" s="2">
        <v>12</v>
      </c>
      <c r="BK193" s="2">
        <v>11</v>
      </c>
      <c r="BL193" s="2">
        <v>3.1</v>
      </c>
      <c r="BM193" s="2">
        <v>1.3</v>
      </c>
      <c r="BN193" s="2">
        <v>0</v>
      </c>
      <c r="BO193" s="2">
        <v>0.34</v>
      </c>
      <c r="BP193" s="2">
        <v>6.72</v>
      </c>
      <c r="BQ193" s="2">
        <v>2.29</v>
      </c>
    </row>
    <row r="194" spans="1:69" x14ac:dyDescent="0.2">
      <c r="A194">
        <v>10</v>
      </c>
      <c r="B194">
        <v>266</v>
      </c>
      <c r="C194" t="s">
        <v>1</v>
      </c>
      <c r="D194" t="s">
        <v>5</v>
      </c>
      <c r="E194">
        <v>3</v>
      </c>
      <c r="F194" s="2">
        <v>407.72480705622894</v>
      </c>
      <c r="G194" s="2">
        <v>397.53442622950729</v>
      </c>
      <c r="H194" s="2">
        <v>616.60022050716611</v>
      </c>
      <c r="I194" s="2">
        <v>1045.1842622950817</v>
      </c>
      <c r="J194" s="2">
        <v>1024.325027563395</v>
      </c>
      <c r="K194" s="2">
        <v>1442.718688524589</v>
      </c>
      <c r="L194" s="2">
        <v>-10.19038082672165</v>
      </c>
      <c r="M194" s="2">
        <v>418.39366096119397</v>
      </c>
      <c r="N194" s="2">
        <v>3.2661000000000002</v>
      </c>
      <c r="O194" s="2">
        <v>52.213000000000001</v>
      </c>
      <c r="P194" s="2">
        <v>0.436</v>
      </c>
      <c r="Q194" s="2">
        <v>1.9031078610603289</v>
      </c>
      <c r="R194" s="2">
        <v>1.8866749688667495</v>
      </c>
      <c r="S194" s="2">
        <v>38.1158</v>
      </c>
      <c r="T194" s="2">
        <v>119.00329067641684</v>
      </c>
      <c r="U194" s="2">
        <v>122.00498132004984</v>
      </c>
      <c r="V194" s="2">
        <v>85.339856288916579</v>
      </c>
      <c r="W194" s="2">
        <v>82.354598537477173</v>
      </c>
      <c r="X194" s="2">
        <v>38.5518</v>
      </c>
      <c r="Y194" s="2">
        <v>71.319999999999993</v>
      </c>
      <c r="Z194" s="2">
        <v>48.78</v>
      </c>
      <c r="AA194" s="2">
        <v>13.18</v>
      </c>
      <c r="AB194" s="2">
        <v>6.51</v>
      </c>
      <c r="AC194" s="2">
        <v>2.48</v>
      </c>
      <c r="AD194" s="2">
        <v>39.549999999999997</v>
      </c>
      <c r="AE194" s="2">
        <v>15.9</v>
      </c>
      <c r="AF194" s="2">
        <v>55.5</v>
      </c>
      <c r="AG194" s="2">
        <v>36.1</v>
      </c>
      <c r="AH194" s="2">
        <v>19.3</v>
      </c>
      <c r="AI194" s="2">
        <v>11.13</v>
      </c>
      <c r="AJ194" s="2">
        <v>4.74</v>
      </c>
      <c r="AK194" s="2">
        <v>2.097</v>
      </c>
      <c r="AL194" s="2">
        <v>1.7589999999999999</v>
      </c>
      <c r="AM194" s="2">
        <v>0.89500000000000002</v>
      </c>
      <c r="AN194" s="2">
        <v>0.83899999999999997</v>
      </c>
      <c r="AO194" s="2">
        <v>3.6880000000000002</v>
      </c>
      <c r="AP194" s="2">
        <v>0.81100000000000005</v>
      </c>
      <c r="AQ194" s="2">
        <v>0.90300000000000002</v>
      </c>
      <c r="AR194" s="2">
        <v>2.625</v>
      </c>
      <c r="AS194" s="2">
        <v>44.8</v>
      </c>
      <c r="AT194" s="2">
        <v>415.9</v>
      </c>
      <c r="AU194" s="2">
        <v>1.006</v>
      </c>
      <c r="AV194" s="2">
        <v>0.51</v>
      </c>
      <c r="AW194" s="2">
        <v>0.26500000000000001</v>
      </c>
      <c r="AX194" s="2">
        <v>0.4</v>
      </c>
      <c r="AY194" s="2">
        <v>0.33500000000000002</v>
      </c>
      <c r="AZ194" s="2">
        <v>2.68</v>
      </c>
      <c r="BA194" s="2">
        <v>0.76</v>
      </c>
      <c r="BB194" s="2">
        <v>14.1</v>
      </c>
      <c r="BC194" s="2">
        <v>82</v>
      </c>
      <c r="BD194" s="2">
        <v>2.6</v>
      </c>
      <c r="BE194" s="2">
        <v>5.3</v>
      </c>
      <c r="BF194" s="2">
        <v>50</v>
      </c>
      <c r="BG194" s="2">
        <v>148</v>
      </c>
      <c r="BH194" s="2">
        <v>1518</v>
      </c>
      <c r="BI194" s="2">
        <v>436</v>
      </c>
      <c r="BJ194" s="2">
        <v>18</v>
      </c>
      <c r="BK194" s="2">
        <v>5.7</v>
      </c>
      <c r="BL194" s="2">
        <v>2</v>
      </c>
      <c r="BM194" s="2">
        <v>0.9</v>
      </c>
      <c r="BN194" s="2">
        <v>0.2</v>
      </c>
      <c r="BO194" s="2">
        <v>0.38</v>
      </c>
      <c r="BP194" s="2">
        <v>7.59</v>
      </c>
      <c r="BQ194" s="2">
        <v>3.59</v>
      </c>
    </row>
    <row r="195" spans="1:69" x14ac:dyDescent="0.2">
      <c r="A195">
        <v>10</v>
      </c>
      <c r="B195">
        <v>293</v>
      </c>
      <c r="C195" t="s">
        <v>1</v>
      </c>
      <c r="D195" t="s">
        <v>7</v>
      </c>
      <c r="E195">
        <v>1</v>
      </c>
      <c r="F195" s="2">
        <v>169.36418558736392</v>
      </c>
      <c r="G195" s="2">
        <v>187.67176895306807</v>
      </c>
      <c r="H195" s="2" t="s">
        <v>14</v>
      </c>
      <c r="I195" s="2">
        <v>363.85342960288807</v>
      </c>
      <c r="J195" s="2" t="s">
        <v>14</v>
      </c>
      <c r="K195" s="2">
        <v>551.52519855595619</v>
      </c>
      <c r="L195" s="2" t="s">
        <v>14</v>
      </c>
      <c r="M195" s="2" t="s">
        <v>14</v>
      </c>
      <c r="N195" s="2">
        <v>2.5795000000000003</v>
      </c>
      <c r="O195" s="2">
        <v>37.554000000000002</v>
      </c>
      <c r="P195" s="2">
        <v>0.5272</v>
      </c>
      <c r="Q195" s="2">
        <v>1.92883064516129</v>
      </c>
      <c r="R195" s="2">
        <v>2.8688622754491022</v>
      </c>
      <c r="S195" s="2">
        <v>29.002800000000001</v>
      </c>
      <c r="T195" s="2">
        <v>59.02217741935484</v>
      </c>
      <c r="U195" s="2">
        <v>60.289421157684629</v>
      </c>
      <c r="V195" s="2">
        <v>33.628283433133731</v>
      </c>
      <c r="W195" s="2">
        <v>31.42100806451613</v>
      </c>
      <c r="X195" s="2">
        <v>29.53</v>
      </c>
      <c r="Y195" s="2">
        <v>86.99</v>
      </c>
      <c r="Z195" s="2">
        <v>38.29</v>
      </c>
      <c r="AA195" s="2">
        <v>24.74</v>
      </c>
      <c r="AB195" s="2">
        <v>18.690000000000001</v>
      </c>
      <c r="AC195" s="2">
        <v>4.7300000000000004</v>
      </c>
      <c r="AD195" s="2">
        <v>10.28</v>
      </c>
      <c r="AE195" s="2">
        <v>34.130000000000003</v>
      </c>
      <c r="AF195" s="2">
        <v>44.4</v>
      </c>
      <c r="AG195" s="2">
        <v>44</v>
      </c>
      <c r="AH195" s="2">
        <v>0.4</v>
      </c>
      <c r="AI195" s="2">
        <v>34.49</v>
      </c>
      <c r="AJ195" s="2">
        <v>8.09</v>
      </c>
      <c r="AK195" s="2">
        <v>1.4770000000000001</v>
      </c>
      <c r="AL195" s="2">
        <v>0.64800000000000002</v>
      </c>
      <c r="AM195" s="2">
        <v>0.70499999999999996</v>
      </c>
      <c r="AN195" s="2">
        <v>0.438</v>
      </c>
      <c r="AO195" s="2">
        <v>0.95699999999999996</v>
      </c>
      <c r="AP195" s="2">
        <v>0.26800000000000002</v>
      </c>
      <c r="AQ195" s="2">
        <v>1.101</v>
      </c>
      <c r="AR195" s="2">
        <v>2.5310000000000001</v>
      </c>
      <c r="AS195" s="2">
        <v>39.19</v>
      </c>
      <c r="AT195" s="2">
        <v>128.30000000000001</v>
      </c>
      <c r="AU195" s="2">
        <v>1.276</v>
      </c>
      <c r="AV195" s="2">
        <v>0.04</v>
      </c>
      <c r="AW195" s="2">
        <v>0.20100000000000001</v>
      </c>
      <c r="AX195" s="2">
        <v>0.247</v>
      </c>
      <c r="AY195" s="2">
        <v>0.55200000000000005</v>
      </c>
      <c r="AZ195" s="2">
        <v>3.77</v>
      </c>
      <c r="BA195" s="2">
        <v>0.97</v>
      </c>
      <c r="BB195" s="2">
        <v>7.3</v>
      </c>
      <c r="BC195" s="2">
        <v>58</v>
      </c>
      <c r="BD195" s="2">
        <v>3.1</v>
      </c>
      <c r="BE195" s="2">
        <v>5.3</v>
      </c>
      <c r="BF195" s="2">
        <v>105</v>
      </c>
      <c r="BG195" s="2">
        <v>156</v>
      </c>
      <c r="BH195" s="2">
        <v>569</v>
      </c>
      <c r="BI195" s="2">
        <v>115</v>
      </c>
      <c r="BJ195" s="2">
        <v>24</v>
      </c>
      <c r="BK195" s="2">
        <v>10.6</v>
      </c>
      <c r="BL195" s="2">
        <v>3.8</v>
      </c>
      <c r="BM195" s="2">
        <v>0.9</v>
      </c>
      <c r="BN195" s="2">
        <v>0.1</v>
      </c>
      <c r="BO195" s="2">
        <v>0.4</v>
      </c>
      <c r="BP195" s="2">
        <v>2.85</v>
      </c>
      <c r="BQ195" s="2">
        <v>0.95</v>
      </c>
    </row>
    <row r="196" spans="1:69" x14ac:dyDescent="0.2">
      <c r="A196">
        <v>20</v>
      </c>
      <c r="B196">
        <v>299</v>
      </c>
      <c r="C196" t="s">
        <v>1</v>
      </c>
      <c r="D196" t="s">
        <v>7</v>
      </c>
      <c r="E196">
        <v>4</v>
      </c>
      <c r="F196" s="2">
        <v>218.27676894176588</v>
      </c>
      <c r="G196" s="2">
        <v>289.84330660086374</v>
      </c>
      <c r="H196" s="2">
        <v>501.08753913587964</v>
      </c>
      <c r="I196" s="2">
        <v>693.75397902529289</v>
      </c>
      <c r="J196" s="2">
        <v>719.36430807764555</v>
      </c>
      <c r="K196" s="2">
        <v>983.59728562615669</v>
      </c>
      <c r="L196" s="2">
        <v>71.566537659097861</v>
      </c>
      <c r="M196" s="2">
        <v>264.23297754851114</v>
      </c>
      <c r="N196" s="2">
        <v>4.5701000000000001</v>
      </c>
      <c r="O196" s="2">
        <v>80.891000000000005</v>
      </c>
      <c r="P196" s="2">
        <v>0.78220000000000001</v>
      </c>
      <c r="Q196" s="2">
        <v>6.4362000000000013</v>
      </c>
      <c r="R196" s="2">
        <v>13.0982</v>
      </c>
      <c r="S196" s="2">
        <v>29.747199999999999</v>
      </c>
      <c r="T196" s="2">
        <v>92.205200000000005</v>
      </c>
      <c r="U196" s="2">
        <v>113.44539999999999</v>
      </c>
      <c r="V196" s="2">
        <v>96.014200000000002</v>
      </c>
      <c r="W196" s="2">
        <v>68.112000000000009</v>
      </c>
      <c r="X196" s="2">
        <v>30.529399999999999</v>
      </c>
      <c r="Y196" s="2">
        <v>75.97</v>
      </c>
      <c r="Z196" s="2">
        <v>25.43</v>
      </c>
      <c r="AA196" s="2">
        <v>23.08</v>
      </c>
      <c r="AB196" s="2">
        <v>23.49</v>
      </c>
      <c r="AC196" s="2">
        <v>3.51</v>
      </c>
      <c r="AD196" s="2">
        <v>16.59</v>
      </c>
      <c r="AE196" s="2">
        <v>29.23</v>
      </c>
      <c r="AF196" s="2">
        <v>45.8</v>
      </c>
      <c r="AG196" s="2">
        <v>38.5</v>
      </c>
      <c r="AH196" s="2">
        <v>7.4</v>
      </c>
      <c r="AI196" s="2">
        <v>25.38</v>
      </c>
      <c r="AJ196" s="2">
        <v>4.7699999999999996</v>
      </c>
      <c r="AK196" s="2">
        <v>1.2010000000000001</v>
      </c>
      <c r="AL196" s="2">
        <v>0.92100000000000004</v>
      </c>
      <c r="AM196" s="2">
        <v>0.94499999999999995</v>
      </c>
      <c r="AN196" s="2">
        <v>0.76700000000000002</v>
      </c>
      <c r="AO196" s="2">
        <v>1.1060000000000001</v>
      </c>
      <c r="AP196" s="2">
        <v>0.65200000000000002</v>
      </c>
      <c r="AQ196" s="2">
        <v>0.96199999999999997</v>
      </c>
      <c r="AR196" s="2">
        <v>3.879</v>
      </c>
      <c r="AS196" s="2">
        <v>75.31</v>
      </c>
      <c r="AT196" s="2">
        <v>194.5</v>
      </c>
      <c r="AU196" s="2">
        <v>0.84</v>
      </c>
      <c r="AV196" s="2">
        <v>0.13</v>
      </c>
      <c r="AW196" s="2">
        <v>0.17399999999999999</v>
      </c>
      <c r="AX196" s="2">
        <v>0.20699999999999999</v>
      </c>
      <c r="AY196" s="2">
        <v>0.61899999999999999</v>
      </c>
      <c r="AZ196" s="2">
        <v>5.85</v>
      </c>
      <c r="BA196" s="2">
        <v>0.8</v>
      </c>
      <c r="BB196" s="2">
        <v>7.7</v>
      </c>
      <c r="BC196" s="2">
        <v>62</v>
      </c>
      <c r="BD196" s="2">
        <v>2.9</v>
      </c>
      <c r="BE196" s="2">
        <v>5.4</v>
      </c>
      <c r="BF196" s="2">
        <v>91</v>
      </c>
      <c r="BG196" s="2">
        <v>70</v>
      </c>
      <c r="BH196" s="2">
        <v>702</v>
      </c>
      <c r="BI196" s="2">
        <v>137</v>
      </c>
      <c r="BJ196" s="2">
        <v>23</v>
      </c>
      <c r="BK196" s="2">
        <v>4.5</v>
      </c>
      <c r="BL196" s="2">
        <v>1.8</v>
      </c>
      <c r="BM196" s="2">
        <v>0.9</v>
      </c>
      <c r="BN196" s="2">
        <v>0.1</v>
      </c>
      <c r="BO196" s="2">
        <v>0.18</v>
      </c>
      <c r="BP196" s="2">
        <v>3.51</v>
      </c>
      <c r="BQ196" s="2">
        <v>1.1299999999999999</v>
      </c>
    </row>
    <row r="197" spans="1:69" x14ac:dyDescent="0.2">
      <c r="A197">
        <v>20</v>
      </c>
      <c r="B197">
        <v>310</v>
      </c>
      <c r="C197" t="s">
        <v>1</v>
      </c>
      <c r="D197" t="s">
        <v>0</v>
      </c>
      <c r="E197">
        <v>2</v>
      </c>
      <c r="F197" s="2">
        <v>379.57459940652836</v>
      </c>
      <c r="G197" s="2">
        <v>416.71864406779667</v>
      </c>
      <c r="H197" s="2">
        <v>653.01222551928777</v>
      </c>
      <c r="I197" s="2">
        <v>717.36497175141233</v>
      </c>
      <c r="J197" s="2">
        <v>1032.586824925816</v>
      </c>
      <c r="K197" s="2">
        <v>1134.0836158192089</v>
      </c>
      <c r="L197" s="2">
        <v>37.14404466126831</v>
      </c>
      <c r="M197" s="2">
        <v>101.49679089339293</v>
      </c>
      <c r="N197" s="2">
        <v>3.7014000000000005</v>
      </c>
      <c r="O197" s="2">
        <v>53.917999999999999</v>
      </c>
      <c r="P197" s="2">
        <v>0.61219999999999997</v>
      </c>
      <c r="Q197" s="2">
        <v>13.137</v>
      </c>
      <c r="R197" s="2">
        <v>20.035400000000003</v>
      </c>
      <c r="S197" s="2">
        <v>34.014800000000001</v>
      </c>
      <c r="T197" s="2">
        <v>146.18119999999999</v>
      </c>
      <c r="U197" s="2">
        <v>147.14859999999999</v>
      </c>
      <c r="V197" s="2">
        <v>132.55699999999999</v>
      </c>
      <c r="W197" s="2">
        <v>124.69119999999998</v>
      </c>
      <c r="X197" s="2">
        <v>34.627000000000002</v>
      </c>
      <c r="Y197" s="2">
        <v>76.31</v>
      </c>
      <c r="Z197" s="2">
        <v>46.3</v>
      </c>
      <c r="AA197" s="2">
        <v>16.440000000000001</v>
      </c>
      <c r="AB197" s="2">
        <v>10.23</v>
      </c>
      <c r="AC197" s="2">
        <v>2.99</v>
      </c>
      <c r="AD197" s="2">
        <v>39.299999999999997</v>
      </c>
      <c r="AE197" s="2">
        <v>18.28</v>
      </c>
      <c r="AF197" s="2">
        <v>57.6</v>
      </c>
      <c r="AG197" s="2">
        <v>38.6</v>
      </c>
      <c r="AH197" s="2">
        <v>18.899999999999999</v>
      </c>
      <c r="AI197" s="2">
        <v>13.93</v>
      </c>
      <c r="AJ197" s="2">
        <v>4.8</v>
      </c>
      <c r="AK197" s="2">
        <v>1.9</v>
      </c>
      <c r="AL197" s="2">
        <v>1.66</v>
      </c>
      <c r="AM197" s="2">
        <v>0.91800000000000004</v>
      </c>
      <c r="AN197" s="2">
        <v>0.873</v>
      </c>
      <c r="AO197" s="2">
        <v>3.1539999999999999</v>
      </c>
      <c r="AP197" s="2">
        <v>0.84899999999999998</v>
      </c>
      <c r="AQ197" s="2">
        <v>0.96599999999999997</v>
      </c>
      <c r="AR197" s="2">
        <v>3.036</v>
      </c>
      <c r="AS197" s="2">
        <v>48.42</v>
      </c>
      <c r="AT197" s="2">
        <v>377</v>
      </c>
      <c r="AU197" s="2">
        <v>1.1559999999999999</v>
      </c>
      <c r="AV197" s="2">
        <v>0.08</v>
      </c>
      <c r="AW197" s="2">
        <v>0.23899999999999999</v>
      </c>
      <c r="AX197" s="2">
        <v>0.36099999999999999</v>
      </c>
      <c r="AY197" s="2">
        <v>0.4</v>
      </c>
      <c r="AZ197" s="2">
        <v>3.77</v>
      </c>
      <c r="BA197" s="2">
        <v>0.74</v>
      </c>
      <c r="BB197" s="2">
        <v>12.7</v>
      </c>
      <c r="BC197" s="2">
        <v>83</v>
      </c>
      <c r="BD197" s="2">
        <v>2.2000000000000002</v>
      </c>
      <c r="BE197" s="2">
        <v>5.6</v>
      </c>
      <c r="BF197" s="2">
        <v>124</v>
      </c>
      <c r="BG197" s="2">
        <v>278</v>
      </c>
      <c r="BH197" s="2">
        <v>1368</v>
      </c>
      <c r="BI197" s="2">
        <v>361</v>
      </c>
      <c r="BJ197" s="2">
        <v>16</v>
      </c>
      <c r="BK197" s="2">
        <v>6.7</v>
      </c>
      <c r="BL197" s="2">
        <v>3.4</v>
      </c>
      <c r="BM197" s="2">
        <v>1.2</v>
      </c>
      <c r="BN197" s="2">
        <v>0.1</v>
      </c>
      <c r="BO197" s="2">
        <v>0.71</v>
      </c>
      <c r="BP197" s="2">
        <v>6.84</v>
      </c>
      <c r="BQ197" s="2">
        <v>2.97</v>
      </c>
    </row>
    <row r="198" spans="1:69" x14ac:dyDescent="0.2">
      <c r="A198">
        <v>10</v>
      </c>
      <c r="B198">
        <v>24</v>
      </c>
      <c r="C198" t="s">
        <v>11</v>
      </c>
      <c r="D198" t="s">
        <v>7</v>
      </c>
      <c r="E198">
        <v>3</v>
      </c>
      <c r="F198" s="2">
        <v>185.96319018404841</v>
      </c>
      <c r="G198" s="2">
        <v>181.67290640394054</v>
      </c>
      <c r="H198" s="2">
        <v>452.95319894829049</v>
      </c>
      <c r="I198" s="2">
        <v>379.52216748768438</v>
      </c>
      <c r="J198" s="2">
        <v>638.91638913233896</v>
      </c>
      <c r="K198" s="2">
        <v>561.19507389162493</v>
      </c>
      <c r="L198" s="2">
        <v>-4.2902837801078704</v>
      </c>
      <c r="M198" s="2">
        <v>-77.721315240714034</v>
      </c>
      <c r="N198" s="2">
        <v>0.70979999999999999</v>
      </c>
      <c r="O198" s="2">
        <v>9.4089999999999989</v>
      </c>
      <c r="P198" s="2">
        <v>0.61231802911534161</v>
      </c>
      <c r="Q198" s="2">
        <v>2.1786606129398409</v>
      </c>
      <c r="R198" s="2">
        <v>3.0912912912912915</v>
      </c>
      <c r="S198" s="2">
        <v>20.72362821948488</v>
      </c>
      <c r="T198" s="2">
        <v>43.683087400681046</v>
      </c>
      <c r="U198" s="2">
        <v>36.337137137137141</v>
      </c>
      <c r="V198" s="2">
        <v>18.09248217982821</v>
      </c>
      <c r="W198" s="2">
        <v>24.525801765020667</v>
      </c>
      <c r="X198" s="2">
        <v>21.335946248600223</v>
      </c>
      <c r="Y198" s="2">
        <v>103.14</v>
      </c>
      <c r="Z198" s="2">
        <v>53.71</v>
      </c>
      <c r="AA198" s="2">
        <v>19.84</v>
      </c>
      <c r="AB198" s="2">
        <v>26.19</v>
      </c>
      <c r="AC198" s="2">
        <v>3.17</v>
      </c>
      <c r="AD198" s="2">
        <v>15.91</v>
      </c>
      <c r="AE198" s="2">
        <v>20.43</v>
      </c>
      <c r="AF198" s="2">
        <v>36.299999999999997</v>
      </c>
      <c r="AG198" s="2">
        <v>52.2</v>
      </c>
      <c r="AH198" s="2">
        <v>-15.9</v>
      </c>
      <c r="AI198" s="2">
        <v>58.9</v>
      </c>
      <c r="AJ198" s="2">
        <v>7.9</v>
      </c>
      <c r="AK198" s="2">
        <v>1.657</v>
      </c>
      <c r="AL198" s="2">
        <v>0.65600000000000003</v>
      </c>
      <c r="AM198" s="2">
        <v>0.49399999999999999</v>
      </c>
      <c r="AN198" s="2">
        <v>0.39600000000000002</v>
      </c>
      <c r="AO198" s="2">
        <v>1.0880000000000001</v>
      </c>
      <c r="AP198" s="2">
        <v>0.29599999999999999</v>
      </c>
      <c r="AQ198" s="2">
        <v>1.306</v>
      </c>
      <c r="AR198" s="2">
        <v>0.70899999999999996</v>
      </c>
      <c r="AS198" s="2">
        <v>7.68</v>
      </c>
      <c r="AT198" s="2">
        <v>109.9</v>
      </c>
      <c r="AU198" s="2">
        <v>1.552</v>
      </c>
      <c r="AV198" s="2">
        <v>0.17</v>
      </c>
      <c r="AW198" s="2">
        <v>0.18099999999999999</v>
      </c>
      <c r="AX198" s="2">
        <v>0.17100000000000001</v>
      </c>
      <c r="AY198" s="2">
        <v>0.64800000000000002</v>
      </c>
      <c r="AZ198" s="2">
        <v>0.09</v>
      </c>
      <c r="BA198" s="2">
        <v>1.25</v>
      </c>
      <c r="BB198" s="2">
        <v>5.6</v>
      </c>
      <c r="BC198" s="2">
        <v>87</v>
      </c>
      <c r="BD198" s="2">
        <v>0.7</v>
      </c>
      <c r="BE198" s="2">
        <v>6.3</v>
      </c>
      <c r="BF198" s="2">
        <v>30</v>
      </c>
      <c r="BG198" s="2">
        <v>90</v>
      </c>
      <c r="BH198" s="2">
        <v>652</v>
      </c>
      <c r="BI198" s="2">
        <v>164</v>
      </c>
      <c r="BJ198" s="2">
        <v>11</v>
      </c>
      <c r="BK198" s="2">
        <v>9.1</v>
      </c>
      <c r="BL198" s="2">
        <v>2.7</v>
      </c>
      <c r="BM198" s="2">
        <v>1.7</v>
      </c>
      <c r="BN198" s="2">
        <v>0</v>
      </c>
      <c r="BO198" s="2">
        <v>0.23</v>
      </c>
      <c r="BP198" s="2">
        <v>3.26</v>
      </c>
      <c r="BQ198" s="2">
        <v>1.35</v>
      </c>
    </row>
    <row r="199" spans="1:69" x14ac:dyDescent="0.2">
      <c r="A199">
        <v>20</v>
      </c>
      <c r="B199">
        <v>54</v>
      </c>
      <c r="C199" t="s">
        <v>11</v>
      </c>
      <c r="D199" t="s">
        <v>5</v>
      </c>
      <c r="E199">
        <v>1</v>
      </c>
      <c r="F199" s="2">
        <v>76.919548872180485</v>
      </c>
      <c r="G199" s="2">
        <v>147.60828220858892</v>
      </c>
      <c r="H199" s="2">
        <v>238.35563909774444</v>
      </c>
      <c r="I199" s="2">
        <v>510.23650306748482</v>
      </c>
      <c r="J199" s="2">
        <v>315.2751879699249</v>
      </c>
      <c r="K199" s="2">
        <v>657.84478527607371</v>
      </c>
      <c r="L199" s="2">
        <v>70.688733336408433</v>
      </c>
      <c r="M199" s="2">
        <v>342.56959730614881</v>
      </c>
      <c r="N199" s="2">
        <v>2.0028000000000001</v>
      </c>
      <c r="O199" s="2">
        <v>26.088000000000001</v>
      </c>
      <c r="P199" s="2">
        <v>0.57079999999999997</v>
      </c>
      <c r="Q199" s="2">
        <v>1.1093999999999999</v>
      </c>
      <c r="R199" s="2">
        <v>3.2786</v>
      </c>
      <c r="S199" s="2">
        <v>30.006599999999999</v>
      </c>
      <c r="T199" s="2">
        <v>65.538800000000009</v>
      </c>
      <c r="U199" s="2">
        <v>71.794600000000003</v>
      </c>
      <c r="V199" s="2">
        <v>44.495800000000003</v>
      </c>
      <c r="W199" s="2">
        <v>36.070800000000006</v>
      </c>
      <c r="X199" s="2">
        <v>30.577399999999997</v>
      </c>
      <c r="Y199" s="2">
        <v>93.42</v>
      </c>
      <c r="Z199" s="2">
        <v>34.51</v>
      </c>
      <c r="AA199" s="2">
        <v>30.48</v>
      </c>
      <c r="AB199" s="2">
        <v>24.3</v>
      </c>
      <c r="AC199" s="2">
        <v>3.79</v>
      </c>
      <c r="AD199" s="2">
        <v>30.94</v>
      </c>
      <c r="AE199" s="2">
        <v>34.53</v>
      </c>
      <c r="AF199" s="2">
        <v>65.5</v>
      </c>
      <c r="AG199" s="2">
        <v>47.3</v>
      </c>
      <c r="AH199" s="2">
        <v>18.2</v>
      </c>
      <c r="AI199" s="2">
        <v>23.6</v>
      </c>
      <c r="AJ199" s="2">
        <v>4.3499999999999996</v>
      </c>
      <c r="AK199" s="2">
        <v>1.3069999999999999</v>
      </c>
      <c r="AL199" s="2">
        <v>1.2230000000000001</v>
      </c>
      <c r="AM199" s="2">
        <v>1.0069999999999999</v>
      </c>
      <c r="AN199" s="2">
        <v>0.93600000000000005</v>
      </c>
      <c r="AO199" s="2">
        <v>1.5980000000000001</v>
      </c>
      <c r="AP199" s="2">
        <v>0.89700000000000002</v>
      </c>
      <c r="AQ199" s="2">
        <v>1.1830000000000001</v>
      </c>
      <c r="AR199" s="2">
        <v>1.8839999999999999</v>
      </c>
      <c r="AS199" s="2">
        <v>23.97</v>
      </c>
      <c r="AT199" s="2">
        <v>151</v>
      </c>
      <c r="AU199" s="2">
        <v>1.1399999999999999</v>
      </c>
      <c r="AV199" s="2">
        <v>0.28999999999999998</v>
      </c>
      <c r="AW199" s="2">
        <v>6.9000000000000006E-2</v>
      </c>
      <c r="AX199" s="2">
        <v>0.20200000000000001</v>
      </c>
      <c r="AY199" s="2">
        <v>0.72899999999999998</v>
      </c>
      <c r="AZ199" s="2">
        <v>0.66</v>
      </c>
      <c r="BA199" s="2">
        <v>1.06</v>
      </c>
      <c r="BB199" s="2">
        <v>5.2</v>
      </c>
      <c r="BC199" s="2">
        <v>41</v>
      </c>
      <c r="BD199" s="2">
        <v>3.1</v>
      </c>
      <c r="BE199" s="2">
        <v>4.4000000000000004</v>
      </c>
      <c r="BF199" s="2">
        <v>148</v>
      </c>
      <c r="BG199" s="2">
        <v>45</v>
      </c>
      <c r="BH199" s="2">
        <v>332</v>
      </c>
      <c r="BI199" s="2">
        <v>46</v>
      </c>
      <c r="BJ199" s="2">
        <v>26</v>
      </c>
      <c r="BK199" s="2">
        <v>16.2</v>
      </c>
      <c r="BL199" s="2">
        <v>7.7</v>
      </c>
      <c r="BM199" s="2">
        <v>1.1000000000000001</v>
      </c>
      <c r="BN199" s="2">
        <v>0</v>
      </c>
      <c r="BO199" s="2">
        <v>0.12</v>
      </c>
      <c r="BP199" s="2">
        <v>1.66</v>
      </c>
      <c r="BQ199" s="2">
        <v>0.38</v>
      </c>
    </row>
    <row r="200" spans="1:69" x14ac:dyDescent="0.2">
      <c r="A200">
        <v>10</v>
      </c>
      <c r="B200">
        <v>89</v>
      </c>
      <c r="C200" t="s">
        <v>11</v>
      </c>
      <c r="D200" t="s">
        <v>3</v>
      </c>
      <c r="E200">
        <v>3</v>
      </c>
      <c r="F200" s="2">
        <v>136.45273311897074</v>
      </c>
      <c r="G200" s="2">
        <v>242.40365575019015</v>
      </c>
      <c r="H200" s="2">
        <v>398.39324758842446</v>
      </c>
      <c r="I200" s="2">
        <v>793.00624523990871</v>
      </c>
      <c r="J200" s="2">
        <v>534.84598070739526</v>
      </c>
      <c r="K200" s="2">
        <v>1035.4099009900988</v>
      </c>
      <c r="L200" s="2">
        <v>105.95092263121941</v>
      </c>
      <c r="M200" s="2">
        <v>500.56392028270352</v>
      </c>
      <c r="N200" s="2">
        <v>1.1740999999999999</v>
      </c>
      <c r="O200" s="2">
        <v>17.684000000000001</v>
      </c>
      <c r="P200" s="2">
        <v>0.42579999999999996</v>
      </c>
      <c r="Q200" s="2">
        <v>5.3102</v>
      </c>
      <c r="R200" s="2">
        <v>6.5754491017964067</v>
      </c>
      <c r="S200" s="2">
        <v>12.728999999999999</v>
      </c>
      <c r="T200" s="2">
        <v>33.293799999999997</v>
      </c>
      <c r="U200" s="2">
        <v>35.885828343313378</v>
      </c>
      <c r="V200" s="2">
        <v>29.306477445109785</v>
      </c>
      <c r="W200" s="2">
        <v>25.449199999999998</v>
      </c>
      <c r="X200" s="2">
        <v>13.1548</v>
      </c>
      <c r="Y200" s="2">
        <v>105.57</v>
      </c>
      <c r="Z200" s="2">
        <v>34.18</v>
      </c>
      <c r="AA200" s="2">
        <v>28.93</v>
      </c>
      <c r="AB200" s="2">
        <v>35.33</v>
      </c>
      <c r="AC200" s="2">
        <v>6.62</v>
      </c>
      <c r="AD200" s="2">
        <v>20.97</v>
      </c>
      <c r="AE200" s="2">
        <v>35.5</v>
      </c>
      <c r="AF200" s="2">
        <v>56.5</v>
      </c>
      <c r="AG200" s="2">
        <v>53.5</v>
      </c>
      <c r="AH200" s="2">
        <v>3</v>
      </c>
      <c r="AI200" s="2">
        <v>39.51</v>
      </c>
      <c r="AJ200" s="2">
        <v>9.59</v>
      </c>
      <c r="AK200" s="2">
        <v>1.155</v>
      </c>
      <c r="AL200" s="2">
        <v>0.84099999999999997</v>
      </c>
      <c r="AM200" s="2">
        <v>0.89500000000000002</v>
      </c>
      <c r="AN200" s="2">
        <v>0.72799999999999998</v>
      </c>
      <c r="AO200" s="2">
        <v>0.97099999999999997</v>
      </c>
      <c r="AP200" s="2">
        <v>0.61399999999999999</v>
      </c>
      <c r="AQ200" s="2">
        <v>1.3360000000000001</v>
      </c>
      <c r="AR200" s="2">
        <v>1.0429999999999999</v>
      </c>
      <c r="AS200" s="2">
        <v>15.83</v>
      </c>
      <c r="AT200" s="2">
        <v>168.8</v>
      </c>
      <c r="AU200" s="2">
        <v>1.448</v>
      </c>
      <c r="AV200" s="2">
        <v>0.01</v>
      </c>
      <c r="AW200" s="2">
        <v>7.0000000000000007E-2</v>
      </c>
      <c r="AX200" s="2">
        <v>0.21099999999999999</v>
      </c>
      <c r="AY200" s="2">
        <v>0.71899999999999997</v>
      </c>
      <c r="AZ200" s="2">
        <v>0.71</v>
      </c>
      <c r="BA200" s="2">
        <v>1.21</v>
      </c>
      <c r="BB200" s="2">
        <v>7.1</v>
      </c>
      <c r="BC200" s="2">
        <v>89</v>
      </c>
      <c r="BD200" s="2">
        <v>0.8</v>
      </c>
      <c r="BE200" s="2">
        <v>6.3</v>
      </c>
      <c r="BF200" s="2">
        <v>71</v>
      </c>
      <c r="BG200" s="2">
        <v>108</v>
      </c>
      <c r="BH200" s="2">
        <v>933</v>
      </c>
      <c r="BI200" s="2">
        <v>167</v>
      </c>
      <c r="BJ200" s="2">
        <v>12</v>
      </c>
      <c r="BK200" s="2">
        <v>8.6</v>
      </c>
      <c r="BL200" s="2">
        <v>7.7</v>
      </c>
      <c r="BM200" s="2">
        <v>1</v>
      </c>
      <c r="BN200" s="2">
        <v>0</v>
      </c>
      <c r="BO200" s="2">
        <v>0.28000000000000003</v>
      </c>
      <c r="BP200" s="2">
        <v>4.67</v>
      </c>
      <c r="BQ200" s="2">
        <v>1.37</v>
      </c>
    </row>
    <row r="201" spans="1:69" x14ac:dyDescent="0.2">
      <c r="A201">
        <v>10</v>
      </c>
      <c r="B201">
        <v>116</v>
      </c>
      <c r="C201" t="s">
        <v>11</v>
      </c>
      <c r="D201" t="s">
        <v>7</v>
      </c>
      <c r="E201">
        <v>2</v>
      </c>
      <c r="F201" s="2">
        <v>65.373718866303875</v>
      </c>
      <c r="G201" s="2">
        <v>52.408103388054492</v>
      </c>
      <c r="H201" s="2">
        <v>178.18677354709396</v>
      </c>
      <c r="I201" s="2">
        <v>118.57995110024429</v>
      </c>
      <c r="J201" s="2">
        <v>243.56049241339784</v>
      </c>
      <c r="K201" s="2">
        <v>170.98805448829879</v>
      </c>
      <c r="L201" s="2">
        <v>-12.965615478249383</v>
      </c>
      <c r="M201" s="2">
        <v>-72.572437925099052</v>
      </c>
      <c r="N201" s="2">
        <v>0.26819999999999999</v>
      </c>
      <c r="O201" s="2">
        <v>3.5177999999999998</v>
      </c>
      <c r="P201" s="2">
        <v>6.3200000000000006E-2</v>
      </c>
      <c r="Q201" s="2">
        <v>0.93780000000000008</v>
      </c>
      <c r="R201" s="2">
        <v>0.82860000000000011</v>
      </c>
      <c r="S201" s="2">
        <v>10.583</v>
      </c>
      <c r="T201" s="2">
        <v>20.937200000000001</v>
      </c>
      <c r="U201" s="2">
        <v>15.987200000000001</v>
      </c>
      <c r="V201" s="2">
        <v>6.1696000000000026</v>
      </c>
      <c r="W201" s="2">
        <v>11.2288</v>
      </c>
      <c r="X201" s="2">
        <v>10.6462</v>
      </c>
      <c r="Y201" s="2">
        <v>117.88</v>
      </c>
      <c r="Z201" s="2">
        <v>13.78</v>
      </c>
      <c r="AA201" s="2">
        <v>48.45</v>
      </c>
      <c r="AB201" s="2">
        <v>50.11</v>
      </c>
      <c r="AC201" s="2">
        <v>4.99</v>
      </c>
      <c r="AD201" s="2">
        <v>5.66</v>
      </c>
      <c r="AE201" s="2">
        <v>46.85</v>
      </c>
      <c r="AF201" s="2">
        <v>52.5</v>
      </c>
      <c r="AG201" s="2">
        <v>59.7</v>
      </c>
      <c r="AH201" s="2">
        <v>-7.2</v>
      </c>
      <c r="AI201" s="2">
        <v>57.41</v>
      </c>
      <c r="AJ201" s="2">
        <v>7.96</v>
      </c>
      <c r="AK201" s="2">
        <v>0.65900000000000003</v>
      </c>
      <c r="AL201" s="2">
        <v>0.46200000000000002</v>
      </c>
      <c r="AM201" s="2">
        <v>0.84399999999999997</v>
      </c>
      <c r="AN201" s="2">
        <v>0.70199999999999996</v>
      </c>
      <c r="AO201" s="2">
        <v>0.30499999999999999</v>
      </c>
      <c r="AP201" s="2">
        <v>0.41099999999999998</v>
      </c>
      <c r="AQ201" s="2">
        <v>1.492</v>
      </c>
      <c r="AR201" s="2">
        <v>0.314</v>
      </c>
      <c r="AS201" s="2">
        <v>3.97</v>
      </c>
      <c r="AT201" s="2">
        <v>53.4</v>
      </c>
      <c r="AU201" s="2">
        <v>1.413</v>
      </c>
      <c r="AV201" s="2">
        <v>0.08</v>
      </c>
      <c r="AW201" s="2">
        <v>6.5000000000000002E-2</v>
      </c>
      <c r="AX201" s="2">
        <v>0.113</v>
      </c>
      <c r="AY201" s="2">
        <v>0.82199999999999995</v>
      </c>
      <c r="AZ201" s="2">
        <v>0.27</v>
      </c>
      <c r="BA201" s="2">
        <v>1.38</v>
      </c>
      <c r="BB201" s="2">
        <v>2.4</v>
      </c>
      <c r="BC201" s="2">
        <v>64</v>
      </c>
      <c r="BD201" s="2">
        <v>0.9</v>
      </c>
      <c r="BE201" s="2">
        <v>5.3</v>
      </c>
      <c r="BF201" s="2">
        <v>169</v>
      </c>
      <c r="BG201" s="2">
        <v>71</v>
      </c>
      <c r="BH201" s="2">
        <v>202</v>
      </c>
      <c r="BI201" s="2">
        <v>43</v>
      </c>
      <c r="BJ201" s="2">
        <v>8</v>
      </c>
      <c r="BK201" s="2">
        <v>11.3</v>
      </c>
      <c r="BL201" s="2">
        <v>2.9</v>
      </c>
      <c r="BM201" s="2">
        <v>0.9</v>
      </c>
      <c r="BN201" s="2">
        <v>0</v>
      </c>
      <c r="BO201" s="2">
        <v>0.18</v>
      </c>
      <c r="BP201" s="2">
        <v>1.01</v>
      </c>
      <c r="BQ201" s="2">
        <v>0.35</v>
      </c>
    </row>
    <row r="202" spans="1:69" x14ac:dyDescent="0.2">
      <c r="A202">
        <v>20</v>
      </c>
      <c r="B202">
        <v>128</v>
      </c>
      <c r="C202" t="s">
        <v>11</v>
      </c>
      <c r="D202" t="s">
        <v>0</v>
      </c>
      <c r="E202">
        <v>3</v>
      </c>
      <c r="F202" s="2">
        <v>271.56396396396383</v>
      </c>
      <c r="G202" s="2">
        <v>272.76056338028167</v>
      </c>
      <c r="H202" s="2">
        <v>602.29549549549552</v>
      </c>
      <c r="I202" s="2">
        <v>550.26478873239444</v>
      </c>
      <c r="J202" s="2">
        <v>873.85945945945934</v>
      </c>
      <c r="K202" s="2">
        <v>823.02535211267605</v>
      </c>
      <c r="L202" s="2">
        <v>1.1965994163178379</v>
      </c>
      <c r="M202" s="2">
        <v>-50.834107346783298</v>
      </c>
      <c r="N202" s="2">
        <v>1.3336000000000001</v>
      </c>
      <c r="O202" s="2">
        <v>17.094000000000001</v>
      </c>
      <c r="P202" s="2">
        <v>0.66120000000000001</v>
      </c>
      <c r="Q202" s="2">
        <v>3.2450000000000001</v>
      </c>
      <c r="R202" s="2">
        <v>3.3121999999999998</v>
      </c>
      <c r="S202" s="2">
        <v>24.598800000000001</v>
      </c>
      <c r="T202" s="2">
        <v>97.130199999999988</v>
      </c>
      <c r="U202" s="2">
        <v>92.705800000000011</v>
      </c>
      <c r="V202" s="2">
        <v>70.75800000000001</v>
      </c>
      <c r="W202" s="2">
        <v>75.115199999999987</v>
      </c>
      <c r="X202" s="2">
        <v>25.26</v>
      </c>
      <c r="Y202" s="2">
        <v>96.71</v>
      </c>
      <c r="Z202" s="2">
        <v>29.33</v>
      </c>
      <c r="AA202" s="2">
        <v>29.08</v>
      </c>
      <c r="AB202" s="2">
        <v>34</v>
      </c>
      <c r="AC202" s="2">
        <v>3.85</v>
      </c>
      <c r="AD202" s="2">
        <v>28.16</v>
      </c>
      <c r="AE202" s="2">
        <v>33.42</v>
      </c>
      <c r="AF202" s="2">
        <v>61.6</v>
      </c>
      <c r="AG202" s="2">
        <v>49</v>
      </c>
      <c r="AH202" s="2">
        <v>12.6</v>
      </c>
      <c r="AI202" s="2">
        <v>30.16</v>
      </c>
      <c r="AJ202" s="2">
        <v>4.97</v>
      </c>
      <c r="AK202" s="2">
        <v>1.115</v>
      </c>
      <c r="AL202" s="2">
        <v>1.1020000000000001</v>
      </c>
      <c r="AM202" s="2">
        <v>1.054</v>
      </c>
      <c r="AN202" s="2">
        <v>0.98899999999999999</v>
      </c>
      <c r="AO202" s="2">
        <v>1.228</v>
      </c>
      <c r="AP202" s="2">
        <v>0.96</v>
      </c>
      <c r="AQ202" s="2">
        <v>1.224</v>
      </c>
      <c r="AR202" s="2">
        <v>1.32</v>
      </c>
      <c r="AS202" s="2">
        <v>17.66</v>
      </c>
      <c r="AT202" s="2">
        <v>295.60000000000002</v>
      </c>
      <c r="AU202" s="2">
        <v>1.2869999999999999</v>
      </c>
      <c r="AV202" s="2">
        <v>0.17</v>
      </c>
      <c r="AW202" s="2">
        <v>0.111</v>
      </c>
      <c r="AX202" s="2">
        <v>0.183</v>
      </c>
      <c r="AY202" s="2">
        <v>0.70599999999999996</v>
      </c>
      <c r="AZ202" s="2">
        <v>0.56000000000000005</v>
      </c>
      <c r="BA202" s="2">
        <v>0.98</v>
      </c>
      <c r="BB202" s="2">
        <v>4.0999999999999996</v>
      </c>
      <c r="BC202" s="2">
        <v>56</v>
      </c>
      <c r="BD202" s="2">
        <v>1.8</v>
      </c>
      <c r="BE202" s="2">
        <v>5</v>
      </c>
      <c r="BF202" s="2">
        <v>40</v>
      </c>
      <c r="BG202" s="2">
        <v>74</v>
      </c>
      <c r="BH202" s="2">
        <v>280</v>
      </c>
      <c r="BI202" s="2">
        <v>87</v>
      </c>
      <c r="BJ202" s="2">
        <v>17</v>
      </c>
      <c r="BK202" s="2">
        <v>8.3000000000000007</v>
      </c>
      <c r="BL202" s="2">
        <v>1.2</v>
      </c>
      <c r="BM202" s="2">
        <v>0.9</v>
      </c>
      <c r="BN202" s="2">
        <v>0</v>
      </c>
      <c r="BO202" s="2">
        <v>0.19</v>
      </c>
      <c r="BP202" s="2">
        <v>1.4</v>
      </c>
      <c r="BQ202" s="2">
        <v>0.72</v>
      </c>
    </row>
    <row r="203" spans="1:69" x14ac:dyDescent="0.2">
      <c r="A203">
        <v>20</v>
      </c>
      <c r="B203">
        <v>166</v>
      </c>
      <c r="C203" t="s">
        <v>11</v>
      </c>
      <c r="D203" t="s">
        <v>0</v>
      </c>
      <c r="E203">
        <v>2</v>
      </c>
      <c r="F203" s="2">
        <v>122.34568087514148</v>
      </c>
      <c r="G203" s="2" t="s">
        <v>14</v>
      </c>
      <c r="H203" s="2">
        <v>268.70313089400224</v>
      </c>
      <c r="I203" s="2">
        <v>408.26475000000005</v>
      </c>
      <c r="J203" s="2">
        <v>391.04881176914375</v>
      </c>
      <c r="K203" s="2" t="s">
        <v>14</v>
      </c>
      <c r="L203" s="2" t="s">
        <v>14</v>
      </c>
      <c r="M203" s="2" t="s">
        <v>14</v>
      </c>
      <c r="N203" s="2">
        <v>0.626</v>
      </c>
      <c r="O203" s="2">
        <v>10.388</v>
      </c>
      <c r="P203" s="2">
        <v>0.4476</v>
      </c>
      <c r="Q203" s="2">
        <v>2.915</v>
      </c>
      <c r="R203" s="2">
        <v>3.1358000000000006</v>
      </c>
      <c r="S203" s="2">
        <v>10.0932</v>
      </c>
      <c r="T203" s="2">
        <v>46.266999999999996</v>
      </c>
      <c r="U203" s="2">
        <v>50.697400000000002</v>
      </c>
      <c r="V203" s="2">
        <v>43.292400000000008</v>
      </c>
      <c r="W203" s="2">
        <v>38.641199999999998</v>
      </c>
      <c r="X203" s="2">
        <v>10.540799999999999</v>
      </c>
      <c r="Y203" s="2">
        <v>111.22</v>
      </c>
      <c r="Z203" s="2">
        <v>25.08</v>
      </c>
      <c r="AA203" s="2">
        <v>60.23</v>
      </c>
      <c r="AB203" s="2">
        <v>22.29</v>
      </c>
      <c r="AC203" s="2">
        <v>3.07</v>
      </c>
      <c r="AD203" s="2">
        <v>31.36</v>
      </c>
      <c r="AE203" s="2">
        <v>59.66</v>
      </c>
      <c r="AF203" s="2">
        <v>91</v>
      </c>
      <c r="AG203" s="2">
        <v>56.3</v>
      </c>
      <c r="AH203" s="2">
        <v>34.700000000000003</v>
      </c>
      <c r="AI203" s="2">
        <v>15.04</v>
      </c>
      <c r="AJ203" s="2">
        <v>5.16</v>
      </c>
      <c r="AK203" s="2">
        <v>1.018</v>
      </c>
      <c r="AL203" s="2">
        <v>1.1679999999999999</v>
      </c>
      <c r="AM203" s="2">
        <v>1.0669999999999999</v>
      </c>
      <c r="AN203" s="2">
        <v>1.147</v>
      </c>
      <c r="AO203" s="2">
        <v>1.1890000000000001</v>
      </c>
      <c r="AP203" s="2">
        <v>1.25</v>
      </c>
      <c r="AQ203" s="2">
        <v>1.4079999999999999</v>
      </c>
      <c r="AR203" s="2">
        <v>0.78200000000000003</v>
      </c>
      <c r="AS203" s="2">
        <v>13.55</v>
      </c>
      <c r="AT203" s="2">
        <v>179.6</v>
      </c>
      <c r="AU203" s="2">
        <v>1.345</v>
      </c>
      <c r="AV203" s="2">
        <v>1.35</v>
      </c>
      <c r="AW203" s="2">
        <v>0.04</v>
      </c>
      <c r="AX203" s="2">
        <v>0.09</v>
      </c>
      <c r="AY203" s="2">
        <v>0.86899999999999999</v>
      </c>
      <c r="AZ203" s="2">
        <v>0.41</v>
      </c>
      <c r="BA203" s="2">
        <v>1.27</v>
      </c>
      <c r="BB203" s="2">
        <v>3.8</v>
      </c>
      <c r="BC203" s="2">
        <v>56</v>
      </c>
      <c r="BD203" s="2">
        <v>1.7</v>
      </c>
      <c r="BE203" s="2">
        <v>4.9000000000000004</v>
      </c>
      <c r="BF203" s="2">
        <v>144</v>
      </c>
      <c r="BG203" s="2">
        <v>72</v>
      </c>
      <c r="BH203" s="2">
        <v>287</v>
      </c>
      <c r="BI203" s="2">
        <v>67</v>
      </c>
      <c r="BJ203" s="2">
        <v>10</v>
      </c>
      <c r="BK203" s="2">
        <v>18.7</v>
      </c>
      <c r="BL203" s="2">
        <v>4</v>
      </c>
      <c r="BM203" s="2">
        <v>0.8</v>
      </c>
      <c r="BN203" s="2">
        <v>0</v>
      </c>
      <c r="BO203" s="2">
        <v>0.18</v>
      </c>
      <c r="BP203" s="2">
        <v>1.44</v>
      </c>
      <c r="BQ203" s="2">
        <v>0.55000000000000004</v>
      </c>
    </row>
    <row r="204" spans="1:69" x14ac:dyDescent="0.2">
      <c r="A204">
        <v>20</v>
      </c>
      <c r="B204">
        <v>188</v>
      </c>
      <c r="C204" t="s">
        <v>11</v>
      </c>
      <c r="D204" t="s">
        <v>0</v>
      </c>
      <c r="E204">
        <v>1</v>
      </c>
      <c r="F204" s="2">
        <v>350.20787537862401</v>
      </c>
      <c r="G204" s="2">
        <v>402.57279543020348</v>
      </c>
      <c r="H204" s="2">
        <v>615.15915188230213</v>
      </c>
      <c r="I204" s="2">
        <v>648.22877543734376</v>
      </c>
      <c r="J204" s="2">
        <v>965.36702726092608</v>
      </c>
      <c r="K204" s="2">
        <v>1050.8015708675473</v>
      </c>
      <c r="L204" s="2">
        <v>52.364920051579475</v>
      </c>
      <c r="M204" s="2">
        <v>85.434543606621219</v>
      </c>
      <c r="N204" s="2">
        <v>2.0265</v>
      </c>
      <c r="O204" s="2">
        <v>23.05</v>
      </c>
      <c r="P204" s="2">
        <v>0.44299999999999995</v>
      </c>
      <c r="Q204" s="2">
        <v>4.3549999999999995</v>
      </c>
      <c r="R204" s="2">
        <v>5.2298</v>
      </c>
      <c r="S204" s="2">
        <v>22.716000000000001</v>
      </c>
      <c r="T204" s="2">
        <v>101.48500000000001</v>
      </c>
      <c r="U204" s="2">
        <v>100.2826</v>
      </c>
      <c r="V204" s="2">
        <v>82.353399999999993</v>
      </c>
      <c r="W204" s="2">
        <v>82.681000000000012</v>
      </c>
      <c r="X204" s="2">
        <v>23.159000000000002</v>
      </c>
      <c r="Y204" s="2">
        <v>97.19</v>
      </c>
      <c r="Z204" s="2">
        <v>22.08</v>
      </c>
      <c r="AA204" s="2">
        <v>37.4</v>
      </c>
      <c r="AB204" s="2">
        <v>29.98</v>
      </c>
      <c r="AC204" s="2">
        <v>7.27</v>
      </c>
      <c r="AD204" s="2">
        <v>22.68</v>
      </c>
      <c r="AE204" s="2">
        <v>43.67</v>
      </c>
      <c r="AF204" s="2">
        <v>66.400000000000006</v>
      </c>
      <c r="AG204" s="2">
        <v>49.2</v>
      </c>
      <c r="AH204" s="2">
        <v>17.100000000000001</v>
      </c>
      <c r="AI204" s="2">
        <v>24.62</v>
      </c>
      <c r="AJ204" s="2">
        <v>6.22</v>
      </c>
      <c r="AK204" s="2">
        <v>0.94299999999999995</v>
      </c>
      <c r="AL204" s="2">
        <v>0.99199999999999999</v>
      </c>
      <c r="AM204" s="2">
        <v>1.1160000000000001</v>
      </c>
      <c r="AN204" s="2">
        <v>1.052</v>
      </c>
      <c r="AO204" s="2">
        <v>0.93500000000000005</v>
      </c>
      <c r="AP204" s="2">
        <v>1.0269999999999999</v>
      </c>
      <c r="AQ204" s="2">
        <v>1.23</v>
      </c>
      <c r="AR204" s="2">
        <v>2.0209999999999999</v>
      </c>
      <c r="AS204" s="2">
        <v>24.54</v>
      </c>
      <c r="AT204" s="2">
        <v>353.9</v>
      </c>
      <c r="AU204" s="2">
        <v>1.163</v>
      </c>
      <c r="AV204" s="2">
        <v>0.38</v>
      </c>
      <c r="AW204" s="2">
        <v>6.2E-2</v>
      </c>
      <c r="AX204" s="2">
        <v>0.222</v>
      </c>
      <c r="AY204" s="2">
        <v>0.71599999999999997</v>
      </c>
      <c r="AZ204" s="2">
        <v>0.86</v>
      </c>
      <c r="BA204" s="2">
        <v>1.1399999999999999</v>
      </c>
      <c r="BB204" s="2">
        <v>6.4</v>
      </c>
      <c r="BC204" s="2">
        <v>67</v>
      </c>
      <c r="BD204" s="2">
        <v>2.1</v>
      </c>
      <c r="BE204" s="2">
        <v>5.3</v>
      </c>
      <c r="BF204" s="2">
        <v>122</v>
      </c>
      <c r="BG204" s="2">
        <v>118</v>
      </c>
      <c r="BH204" s="2">
        <v>599</v>
      </c>
      <c r="BI204" s="2">
        <v>118</v>
      </c>
      <c r="BJ204" s="2">
        <v>22</v>
      </c>
      <c r="BK204" s="2">
        <v>21.6</v>
      </c>
      <c r="BL204" s="2">
        <v>6.1</v>
      </c>
      <c r="BM204" s="2">
        <v>0.8</v>
      </c>
      <c r="BN204" s="2">
        <v>0</v>
      </c>
      <c r="BO204" s="2">
        <v>0.3</v>
      </c>
      <c r="BP204" s="2">
        <v>3</v>
      </c>
      <c r="BQ204" s="2">
        <v>0.97</v>
      </c>
    </row>
    <row r="205" spans="1:69" x14ac:dyDescent="0.2">
      <c r="A205">
        <v>20</v>
      </c>
      <c r="B205">
        <v>196</v>
      </c>
      <c r="C205" t="s">
        <v>11</v>
      </c>
      <c r="D205" t="s">
        <v>0</v>
      </c>
      <c r="E205">
        <v>4</v>
      </c>
      <c r="F205" s="2">
        <v>301.21358490566024</v>
      </c>
      <c r="G205" s="2">
        <v>385.35119182746871</v>
      </c>
      <c r="H205" s="2">
        <v>514.73207547169807</v>
      </c>
      <c r="I205" s="2">
        <v>622.75505107832009</v>
      </c>
      <c r="J205" s="2">
        <v>815.94566037735831</v>
      </c>
      <c r="K205" s="2">
        <v>1008.1062429057888</v>
      </c>
      <c r="L205" s="2">
        <v>84.137606921808469</v>
      </c>
      <c r="M205" s="2">
        <v>192.1605825284305</v>
      </c>
      <c r="N205" s="2">
        <v>1.5815000000000001</v>
      </c>
      <c r="O205" s="2">
        <v>22.198999999999998</v>
      </c>
      <c r="P205" s="2">
        <v>0.70720000000000005</v>
      </c>
      <c r="Q205" s="2">
        <v>4.1930000000000005</v>
      </c>
      <c r="R205" s="2">
        <v>4.7402000000000006</v>
      </c>
      <c r="S205" s="2">
        <v>26.651799999999998</v>
      </c>
      <c r="T205" s="2">
        <v>82.519000000000005</v>
      </c>
      <c r="U205" s="2">
        <v>111.8338</v>
      </c>
      <c r="V205" s="2">
        <v>89.215000000000003</v>
      </c>
      <c r="W205" s="2">
        <v>59.353000000000009</v>
      </c>
      <c r="X205" s="2">
        <v>27.358999999999998</v>
      </c>
      <c r="Y205" s="2">
        <v>99.71</v>
      </c>
      <c r="Z205" s="2">
        <v>32.82</v>
      </c>
      <c r="AA205" s="2">
        <v>42.18</v>
      </c>
      <c r="AB205" s="2">
        <v>20.98</v>
      </c>
      <c r="AC205" s="2">
        <v>3.45</v>
      </c>
      <c r="AD205" s="2">
        <v>26.57</v>
      </c>
      <c r="AE205" s="2">
        <v>49.43</v>
      </c>
      <c r="AF205" s="2">
        <v>76</v>
      </c>
      <c r="AG205" s="2">
        <v>50.5</v>
      </c>
      <c r="AH205" s="2">
        <v>25.5</v>
      </c>
      <c r="AI205" s="2">
        <v>18.91</v>
      </c>
      <c r="AJ205" s="2">
        <v>4.8</v>
      </c>
      <c r="AK205" s="2">
        <v>1.244</v>
      </c>
      <c r="AL205" s="2">
        <v>1.1060000000000001</v>
      </c>
      <c r="AM205" s="2">
        <v>1.0129999999999999</v>
      </c>
      <c r="AN205" s="2">
        <v>0.88900000000000001</v>
      </c>
      <c r="AO205" s="2">
        <v>1.3759999999999999</v>
      </c>
      <c r="AP205" s="2">
        <v>0.81</v>
      </c>
      <c r="AQ205" s="2">
        <v>1.262</v>
      </c>
      <c r="AR205" s="2">
        <v>1.3340000000000001</v>
      </c>
      <c r="AS205" s="2">
        <v>20.54</v>
      </c>
      <c r="AT205" s="2">
        <v>343.9</v>
      </c>
      <c r="AU205" s="2">
        <v>1.2689999999999999</v>
      </c>
      <c r="AV205" s="2">
        <v>0.55000000000000004</v>
      </c>
      <c r="AW205" s="2">
        <v>0.11</v>
      </c>
      <c r="AX205" s="2">
        <v>0.17399999999999999</v>
      </c>
      <c r="AY205" s="2">
        <v>0.71699999999999997</v>
      </c>
      <c r="AZ205" s="2">
        <v>0.46</v>
      </c>
      <c r="BA205" s="2">
        <v>1.1399999999999999</v>
      </c>
      <c r="BB205" s="2">
        <v>5.5</v>
      </c>
      <c r="BC205" s="2">
        <v>68</v>
      </c>
      <c r="BD205" s="2">
        <v>1.8</v>
      </c>
      <c r="BE205" s="2">
        <v>5.3</v>
      </c>
      <c r="BF205" s="2">
        <v>44</v>
      </c>
      <c r="BG205" s="2">
        <v>96</v>
      </c>
      <c r="BH205" s="2">
        <v>500</v>
      </c>
      <c r="BI205" s="2">
        <v>126</v>
      </c>
      <c r="BJ205" s="2">
        <v>13</v>
      </c>
      <c r="BK205" s="2">
        <v>13.3</v>
      </c>
      <c r="BL205" s="2">
        <v>2.8</v>
      </c>
      <c r="BM205" s="2">
        <v>1</v>
      </c>
      <c r="BN205" s="2">
        <v>0</v>
      </c>
      <c r="BO205" s="2">
        <v>0.25</v>
      </c>
      <c r="BP205" s="2">
        <v>2.5</v>
      </c>
      <c r="BQ205" s="2">
        <v>1.04</v>
      </c>
    </row>
    <row r="206" spans="1:69" x14ac:dyDescent="0.2">
      <c r="A206">
        <v>10</v>
      </c>
      <c r="B206">
        <v>202</v>
      </c>
      <c r="C206" t="s">
        <v>11</v>
      </c>
      <c r="D206" t="s">
        <v>3</v>
      </c>
      <c r="E206">
        <v>2</v>
      </c>
      <c r="F206" s="2">
        <v>167.13631321370272</v>
      </c>
      <c r="G206" s="2">
        <v>263.66478565861212</v>
      </c>
      <c r="H206" s="2">
        <v>237.35334420880889</v>
      </c>
      <c r="I206" s="2">
        <v>342.57521434138721</v>
      </c>
      <c r="J206" s="2">
        <v>404.48965742251164</v>
      </c>
      <c r="K206" s="2">
        <v>606.23999999999933</v>
      </c>
      <c r="L206" s="2">
        <v>96.528472444909397</v>
      </c>
      <c r="M206" s="2">
        <v>201.75034257748769</v>
      </c>
      <c r="N206" s="2">
        <v>1.1227</v>
      </c>
      <c r="O206" s="2">
        <v>18.669</v>
      </c>
      <c r="P206" s="2">
        <v>0.66159999999999997</v>
      </c>
      <c r="Q206" s="2">
        <v>2.4581999999999997</v>
      </c>
      <c r="R206" s="2">
        <v>3.6856287425149703</v>
      </c>
      <c r="S206" s="2">
        <v>12.087199999999999</v>
      </c>
      <c r="T206" s="2">
        <v>36.594799999999999</v>
      </c>
      <c r="U206" s="2">
        <v>41.752894211576852</v>
      </c>
      <c r="V206" s="2">
        <v>32.68972295409182</v>
      </c>
      <c r="W206" s="2">
        <v>26.304199999999998</v>
      </c>
      <c r="X206" s="2">
        <v>12.748799999999999</v>
      </c>
      <c r="Y206" s="2">
        <v>104.92</v>
      </c>
      <c r="Z206" s="2">
        <v>35.549999999999997</v>
      </c>
      <c r="AA206" s="2">
        <v>25.52</v>
      </c>
      <c r="AB206" s="2">
        <v>35.229999999999997</v>
      </c>
      <c r="AC206" s="2">
        <v>8.18</v>
      </c>
      <c r="AD206" s="2">
        <v>17.850000000000001</v>
      </c>
      <c r="AE206" s="2">
        <v>31.27</v>
      </c>
      <c r="AF206" s="2">
        <v>49.1</v>
      </c>
      <c r="AG206" s="2">
        <v>53.1</v>
      </c>
      <c r="AH206" s="2">
        <v>-4</v>
      </c>
      <c r="AI206" s="2">
        <v>43.56</v>
      </c>
      <c r="AJ206" s="2">
        <v>12.24</v>
      </c>
      <c r="AK206" s="2">
        <v>1.179</v>
      </c>
      <c r="AL206" s="2">
        <v>0.74199999999999999</v>
      </c>
      <c r="AM206" s="2">
        <v>0.80400000000000005</v>
      </c>
      <c r="AN206" s="2">
        <v>0.629</v>
      </c>
      <c r="AO206" s="2">
        <v>0.875</v>
      </c>
      <c r="AP206" s="2">
        <v>0.502</v>
      </c>
      <c r="AQ206" s="2">
        <v>1.3280000000000001</v>
      </c>
      <c r="AR206" s="2">
        <v>0.95399999999999996</v>
      </c>
      <c r="AS206" s="2">
        <v>15.77</v>
      </c>
      <c r="AT206" s="2">
        <v>150.80000000000001</v>
      </c>
      <c r="AU206" s="2">
        <v>1.4570000000000001</v>
      </c>
      <c r="AV206" s="2">
        <v>0.05</v>
      </c>
      <c r="AW206" s="2">
        <v>7.6999999999999999E-2</v>
      </c>
      <c r="AX206" s="2">
        <v>0.33100000000000002</v>
      </c>
      <c r="AY206" s="2">
        <v>0.59099999999999997</v>
      </c>
      <c r="AZ206" s="2">
        <v>0.81</v>
      </c>
      <c r="BA206" s="2">
        <v>1.1399999999999999</v>
      </c>
      <c r="BB206" s="2">
        <v>8.6</v>
      </c>
      <c r="BC206" s="2">
        <v>92</v>
      </c>
      <c r="BD206" s="2">
        <v>0.7</v>
      </c>
      <c r="BE206" s="2">
        <v>6.4</v>
      </c>
      <c r="BF206" s="2">
        <v>82</v>
      </c>
      <c r="BG206" s="2">
        <v>78</v>
      </c>
      <c r="BH206" s="2">
        <v>1344</v>
      </c>
      <c r="BI206" s="2">
        <v>120</v>
      </c>
      <c r="BJ206" s="2">
        <v>13</v>
      </c>
      <c r="BK206" s="2">
        <v>10.5</v>
      </c>
      <c r="BL206" s="2">
        <v>3.8</v>
      </c>
      <c r="BM206" s="2">
        <v>1</v>
      </c>
      <c r="BN206" s="2">
        <v>0</v>
      </c>
      <c r="BO206" s="2">
        <v>0.2</v>
      </c>
      <c r="BP206" s="2">
        <v>6.72</v>
      </c>
      <c r="BQ206" s="2">
        <v>0.99</v>
      </c>
    </row>
    <row r="207" spans="1:69" x14ac:dyDescent="0.2">
      <c r="A207">
        <v>20</v>
      </c>
      <c r="B207">
        <v>210</v>
      </c>
      <c r="C207" t="s">
        <v>11</v>
      </c>
      <c r="D207" t="s">
        <v>5</v>
      </c>
      <c r="E207">
        <v>2</v>
      </c>
      <c r="F207" s="2">
        <v>144.93442622950806</v>
      </c>
      <c r="G207" s="2">
        <v>171.15873126524912</v>
      </c>
      <c r="H207" s="2">
        <v>393.39344262295089</v>
      </c>
      <c r="I207" s="2">
        <v>361.33509933774832</v>
      </c>
      <c r="J207" s="2">
        <v>538.32786885245901</v>
      </c>
      <c r="K207" s="2">
        <v>532.49383060299738</v>
      </c>
      <c r="L207" s="2">
        <v>26.224305035741054</v>
      </c>
      <c r="M207" s="2">
        <v>-5.8340382494616279</v>
      </c>
      <c r="N207" s="2">
        <v>0.9264</v>
      </c>
      <c r="O207" s="2">
        <v>16.606999999999999</v>
      </c>
      <c r="P207" s="2">
        <v>0.4536</v>
      </c>
      <c r="Q207" s="2">
        <v>2.6377999999999995</v>
      </c>
      <c r="R207" s="2">
        <v>0.18120000000000003</v>
      </c>
      <c r="S207" s="2">
        <v>14.426399999999999</v>
      </c>
      <c r="T207" s="2">
        <v>52.336599999999997</v>
      </c>
      <c r="U207" s="2">
        <v>55.891400000000004</v>
      </c>
      <c r="V207" s="2">
        <v>41.192599999999999</v>
      </c>
      <c r="W207" s="2">
        <v>40.094399999999993</v>
      </c>
      <c r="X207" s="2">
        <v>14.879999999999999</v>
      </c>
      <c r="Y207" s="2">
        <v>104.29</v>
      </c>
      <c r="Z207" s="2">
        <v>25.9</v>
      </c>
      <c r="AA207" s="2">
        <v>42.06</v>
      </c>
      <c r="AB207" s="2">
        <v>30.29</v>
      </c>
      <c r="AC207" s="2">
        <v>5.6</v>
      </c>
      <c r="AD207" s="2">
        <v>20.84</v>
      </c>
      <c r="AE207" s="2">
        <v>50.58</v>
      </c>
      <c r="AF207" s="2">
        <v>71.400000000000006</v>
      </c>
      <c r="AG207" s="2">
        <v>52.8</v>
      </c>
      <c r="AH207" s="2">
        <v>18.600000000000001</v>
      </c>
      <c r="AI207" s="2">
        <v>26.8</v>
      </c>
      <c r="AJ207" s="2">
        <v>6.07</v>
      </c>
      <c r="AK207" s="2">
        <v>1.012</v>
      </c>
      <c r="AL207" s="2">
        <v>0.91800000000000004</v>
      </c>
      <c r="AM207" s="2">
        <v>1.0509999999999999</v>
      </c>
      <c r="AN207" s="2">
        <v>0.90800000000000003</v>
      </c>
      <c r="AO207" s="2">
        <v>0.92900000000000005</v>
      </c>
      <c r="AP207" s="2">
        <v>0.80500000000000005</v>
      </c>
      <c r="AQ207" s="2">
        <v>1.32</v>
      </c>
      <c r="AR207" s="2">
        <v>1.012</v>
      </c>
      <c r="AS207" s="2">
        <v>19.55</v>
      </c>
      <c r="AT207" s="2">
        <v>153.69999999999999</v>
      </c>
      <c r="AU207" s="2">
        <v>1.252</v>
      </c>
      <c r="AV207" s="2">
        <v>0.78</v>
      </c>
      <c r="AW207" s="2">
        <v>7.2999999999999995E-2</v>
      </c>
      <c r="AX207" s="2">
        <v>0.17799999999999999</v>
      </c>
      <c r="AY207" s="2">
        <v>0.749</v>
      </c>
      <c r="AZ207" s="2">
        <v>0.51</v>
      </c>
      <c r="BA207" s="2">
        <v>1.25</v>
      </c>
      <c r="BB207" s="2">
        <v>6</v>
      </c>
      <c r="BC207" s="2">
        <v>54</v>
      </c>
      <c r="BD207" s="2">
        <v>2.8</v>
      </c>
      <c r="BE207" s="2">
        <v>4.5999999999999996</v>
      </c>
      <c r="BF207" s="2">
        <v>283</v>
      </c>
      <c r="BG207" s="2">
        <v>58</v>
      </c>
      <c r="BH207" s="2">
        <v>509</v>
      </c>
      <c r="BI207" s="2">
        <v>69</v>
      </c>
      <c r="BJ207" s="2">
        <v>14</v>
      </c>
      <c r="BK207" s="2">
        <v>8.5</v>
      </c>
      <c r="BL207" s="2">
        <v>4.5999999999999996</v>
      </c>
      <c r="BM207" s="2">
        <v>0.5</v>
      </c>
      <c r="BN207" s="2">
        <v>0</v>
      </c>
      <c r="BO207" s="2">
        <v>0.15</v>
      </c>
      <c r="BP207" s="2">
        <v>2.5499999999999998</v>
      </c>
      <c r="BQ207" s="2">
        <v>0.56999999999999995</v>
      </c>
    </row>
    <row r="208" spans="1:69" x14ac:dyDescent="0.2">
      <c r="A208">
        <v>20</v>
      </c>
      <c r="B208">
        <v>214</v>
      </c>
      <c r="C208" t="s">
        <v>11</v>
      </c>
      <c r="D208" t="s">
        <v>5</v>
      </c>
      <c r="E208">
        <v>4</v>
      </c>
      <c r="F208" s="2">
        <v>193.20057943022698</v>
      </c>
      <c r="G208" s="2">
        <v>327.19087018544928</v>
      </c>
      <c r="H208" s="2">
        <v>576.6744567841622</v>
      </c>
      <c r="I208" s="2">
        <v>879.23537803138368</v>
      </c>
      <c r="J208" s="2">
        <v>769.87503621438918</v>
      </c>
      <c r="K208" s="2">
        <v>1206.4262482168328</v>
      </c>
      <c r="L208" s="2">
        <v>133.9902907552223</v>
      </c>
      <c r="M208" s="2">
        <v>436.55121200244366</v>
      </c>
      <c r="N208" s="2">
        <v>2.7547999999999999</v>
      </c>
      <c r="O208" s="2">
        <v>41.471999999999994</v>
      </c>
      <c r="P208" s="2">
        <v>0.58120000000000005</v>
      </c>
      <c r="Q208" s="2">
        <v>5.1025999999999998</v>
      </c>
      <c r="R208" s="2">
        <v>4.8121999999999998</v>
      </c>
      <c r="S208" s="2">
        <v>28.097799999999999</v>
      </c>
      <c r="T208" s="2">
        <v>93.524199999999993</v>
      </c>
      <c r="U208" s="2">
        <v>129.85660000000001</v>
      </c>
      <c r="V208" s="2">
        <v>105.9898</v>
      </c>
      <c r="W208" s="2">
        <v>69.947799999999987</v>
      </c>
      <c r="X208" s="2">
        <v>28.678999999999998</v>
      </c>
      <c r="Y208" s="2">
        <v>89.96</v>
      </c>
      <c r="Z208" s="2">
        <v>29.17</v>
      </c>
      <c r="AA208" s="2">
        <v>30.98</v>
      </c>
      <c r="AB208" s="2">
        <v>23.07</v>
      </c>
      <c r="AC208" s="2">
        <v>6.24</v>
      </c>
      <c r="AD208" s="2">
        <v>22.27</v>
      </c>
      <c r="AE208" s="2">
        <v>37.31</v>
      </c>
      <c r="AF208" s="2">
        <v>59.6</v>
      </c>
      <c r="AG208" s="2">
        <v>45.5</v>
      </c>
      <c r="AH208" s="2">
        <v>14</v>
      </c>
      <c r="AI208" s="2">
        <v>22.4</v>
      </c>
      <c r="AJ208" s="2">
        <v>7.98</v>
      </c>
      <c r="AK208" s="2">
        <v>1.1879999999999999</v>
      </c>
      <c r="AL208" s="2">
        <v>1.0109999999999999</v>
      </c>
      <c r="AM208" s="2">
        <v>0.99099999999999999</v>
      </c>
      <c r="AN208" s="2">
        <v>0.85099999999999998</v>
      </c>
      <c r="AO208" s="2">
        <v>1.202</v>
      </c>
      <c r="AP208" s="2">
        <v>0.76300000000000001</v>
      </c>
      <c r="AQ208" s="2">
        <v>1.139</v>
      </c>
      <c r="AR208" s="2">
        <v>2.2349999999999999</v>
      </c>
      <c r="AS208" s="2">
        <v>35.369999999999997</v>
      </c>
      <c r="AT208" s="2">
        <v>304.3</v>
      </c>
      <c r="AU208" s="2">
        <v>1.0249999999999999</v>
      </c>
      <c r="AV208" s="2">
        <v>0.61</v>
      </c>
      <c r="AW208" s="2">
        <v>0.11899999999999999</v>
      </c>
      <c r="AX208" s="2">
        <v>0.315</v>
      </c>
      <c r="AY208" s="2">
        <v>0.56599999999999995</v>
      </c>
      <c r="AZ208" s="2">
        <v>0.81</v>
      </c>
      <c r="BA208" s="2">
        <v>1.01</v>
      </c>
      <c r="BB208" s="2">
        <v>6.1</v>
      </c>
      <c r="BC208" s="2">
        <v>48</v>
      </c>
      <c r="BD208" s="2">
        <v>3.2</v>
      </c>
      <c r="BE208" s="2">
        <v>4.5999999999999996</v>
      </c>
      <c r="BF208" s="2">
        <v>90</v>
      </c>
      <c r="BG208" s="2">
        <v>91</v>
      </c>
      <c r="BH208" s="2">
        <v>363</v>
      </c>
      <c r="BI208" s="2">
        <v>106</v>
      </c>
      <c r="BJ208" s="2">
        <v>24</v>
      </c>
      <c r="BK208" s="2">
        <v>18.8</v>
      </c>
      <c r="BL208" s="2">
        <v>3.4</v>
      </c>
      <c r="BM208" s="2">
        <v>1</v>
      </c>
      <c r="BN208" s="2">
        <v>0</v>
      </c>
      <c r="BO208" s="2">
        <v>0.23</v>
      </c>
      <c r="BP208" s="2">
        <v>1.82</v>
      </c>
      <c r="BQ208" s="2">
        <v>0.87</v>
      </c>
    </row>
    <row r="209" spans="1:69" x14ac:dyDescent="0.2">
      <c r="A209">
        <v>10</v>
      </c>
      <c r="B209">
        <v>242</v>
      </c>
      <c r="C209" t="s">
        <v>11</v>
      </c>
      <c r="D209" t="s">
        <v>5</v>
      </c>
      <c r="E209">
        <v>3</v>
      </c>
      <c r="F209" s="2">
        <v>139.90153846153791</v>
      </c>
      <c r="G209" s="2">
        <v>150.5274186222556</v>
      </c>
      <c r="H209" s="2">
        <v>476.19068255687949</v>
      </c>
      <c r="I209" s="2">
        <v>491.04981074943237</v>
      </c>
      <c r="J209" s="2">
        <v>616.09222101841738</v>
      </c>
      <c r="K209" s="2">
        <v>641.57722937168796</v>
      </c>
      <c r="L209" s="2">
        <v>10.625880160717685</v>
      </c>
      <c r="M209" s="2">
        <v>25.485008353270587</v>
      </c>
      <c r="N209" s="2">
        <v>1.4958</v>
      </c>
      <c r="O209" s="2">
        <v>26.966000000000001</v>
      </c>
      <c r="P209" s="2">
        <v>0.4264</v>
      </c>
      <c r="Q209" s="2">
        <v>1.66551724137931</v>
      </c>
      <c r="R209" s="2">
        <v>1.1514970059880238</v>
      </c>
      <c r="S209" s="2">
        <v>29.746600000000001</v>
      </c>
      <c r="T209" s="2">
        <v>47.977188328912462</v>
      </c>
      <c r="U209" s="2">
        <v>41.409181636726544</v>
      </c>
      <c r="V209" s="2">
        <v>12.387678642714569</v>
      </c>
      <c r="W209" s="2">
        <v>19.469705570291772</v>
      </c>
      <c r="X209" s="2">
        <v>30.173000000000002</v>
      </c>
      <c r="Y209" s="2">
        <v>95.62</v>
      </c>
      <c r="Z209" s="2">
        <v>27.93</v>
      </c>
      <c r="AA209" s="2">
        <v>23</v>
      </c>
      <c r="AB209" s="2">
        <v>39.619999999999997</v>
      </c>
      <c r="AC209" s="2">
        <v>4.5999999999999996</v>
      </c>
      <c r="AD209" s="2">
        <v>23.58</v>
      </c>
      <c r="AE209" s="2">
        <v>23.83</v>
      </c>
      <c r="AF209" s="2">
        <v>47.4</v>
      </c>
      <c r="AG209" s="2">
        <v>48.4</v>
      </c>
      <c r="AH209" s="2">
        <v>-1</v>
      </c>
      <c r="AI209" s="2">
        <v>43.84</v>
      </c>
      <c r="AJ209" s="2">
        <v>4.37</v>
      </c>
      <c r="AK209" s="2">
        <v>1.0549999999999999</v>
      </c>
      <c r="AL209" s="2">
        <v>0.93600000000000005</v>
      </c>
      <c r="AM209" s="2">
        <v>0.93100000000000005</v>
      </c>
      <c r="AN209" s="2">
        <v>0.88700000000000001</v>
      </c>
      <c r="AO209" s="2">
        <v>0.98699999999999999</v>
      </c>
      <c r="AP209" s="2">
        <v>0.84399999999999997</v>
      </c>
      <c r="AQ209" s="2">
        <v>1.21</v>
      </c>
      <c r="AR209" s="2">
        <v>1.1519999999999999</v>
      </c>
      <c r="AS209" s="2">
        <v>21.22</v>
      </c>
      <c r="AT209" s="2">
        <v>149.80000000000001</v>
      </c>
      <c r="AU209" s="2">
        <v>1.1259999999999999</v>
      </c>
      <c r="AV209" s="2">
        <v>0.11</v>
      </c>
      <c r="AW209" s="2">
        <v>0.11700000000000001</v>
      </c>
      <c r="AX209" s="2">
        <v>0.157</v>
      </c>
      <c r="AY209" s="2">
        <v>0.72599999999999998</v>
      </c>
      <c r="AZ209" s="2">
        <v>0.36</v>
      </c>
      <c r="BA209" s="2">
        <v>1.01</v>
      </c>
      <c r="BB209" s="2">
        <v>4.9000000000000004</v>
      </c>
      <c r="BC209" s="2">
        <v>27</v>
      </c>
      <c r="BD209" s="2">
        <v>3.6</v>
      </c>
      <c r="BE209" s="2">
        <v>4.0999999999999996</v>
      </c>
      <c r="BF209" s="2">
        <v>34</v>
      </c>
      <c r="BG209" s="2">
        <v>32</v>
      </c>
      <c r="BH209" s="2">
        <v>181</v>
      </c>
      <c r="BI209" s="2">
        <v>44</v>
      </c>
      <c r="BJ209" s="2">
        <v>21</v>
      </c>
      <c r="BK209" s="2">
        <v>1.5</v>
      </c>
      <c r="BL209" s="2">
        <v>0.9</v>
      </c>
      <c r="BM209" s="2">
        <v>0.5</v>
      </c>
      <c r="BN209" s="2">
        <v>0</v>
      </c>
      <c r="BO209" s="2">
        <v>0.08</v>
      </c>
      <c r="BP209" s="2">
        <v>0.91</v>
      </c>
      <c r="BQ209" s="2">
        <v>0.36</v>
      </c>
    </row>
    <row r="210" spans="1:69" x14ac:dyDescent="0.2">
      <c r="A210">
        <v>10</v>
      </c>
      <c r="B210">
        <v>265</v>
      </c>
      <c r="C210" t="s">
        <v>11</v>
      </c>
      <c r="D210" t="s">
        <v>3</v>
      </c>
      <c r="E210">
        <v>4</v>
      </c>
      <c r="F210" s="2">
        <v>147.28716417910408</v>
      </c>
      <c r="G210" s="2">
        <v>186.13336870026492</v>
      </c>
      <c r="H210" s="2">
        <v>475.03880597014938</v>
      </c>
      <c r="I210" s="2">
        <v>257.29018567639241</v>
      </c>
      <c r="J210" s="2">
        <v>622.32597014925341</v>
      </c>
      <c r="K210" s="2">
        <v>443.42355437665731</v>
      </c>
      <c r="L210" s="2">
        <v>38.846204521160843</v>
      </c>
      <c r="M210" s="2">
        <v>-178.9024157725961</v>
      </c>
      <c r="N210" s="2">
        <v>0.70599999999999996</v>
      </c>
      <c r="O210" s="2">
        <v>10.499000000000001</v>
      </c>
      <c r="P210" s="2">
        <v>0.48619999999999997</v>
      </c>
      <c r="Q210" s="2">
        <v>3.8295704295704294</v>
      </c>
      <c r="R210" s="2">
        <v>1.6406813627254506</v>
      </c>
      <c r="S210" s="2">
        <v>8.1419999999999995</v>
      </c>
      <c r="T210" s="2">
        <v>27.914885114885116</v>
      </c>
      <c r="U210" s="2">
        <v>24.49619238476954</v>
      </c>
      <c r="V210" s="2">
        <v>17.508673747494992</v>
      </c>
      <c r="W210" s="2">
        <v>23.116255544455548</v>
      </c>
      <c r="X210" s="2">
        <v>8.6281999999999996</v>
      </c>
      <c r="Y210" s="2">
        <v>111.74</v>
      </c>
      <c r="Z210" s="2">
        <v>29.13</v>
      </c>
      <c r="AA210" s="2">
        <v>32.46</v>
      </c>
      <c r="AB210" s="2">
        <v>40.630000000000003</v>
      </c>
      <c r="AC210" s="2">
        <v>8.9499999999999993</v>
      </c>
      <c r="AD210" s="2">
        <v>17.239999999999998</v>
      </c>
      <c r="AE210" s="2">
        <v>38.729999999999997</v>
      </c>
      <c r="AF210" s="2">
        <v>56</v>
      </c>
      <c r="AG210" s="2">
        <v>56.6</v>
      </c>
      <c r="AH210" s="2">
        <v>-0.6</v>
      </c>
      <c r="AI210" s="2">
        <v>45.47</v>
      </c>
      <c r="AJ210" s="2">
        <v>10.3</v>
      </c>
      <c r="AK210" s="2">
        <v>0.98899999999999999</v>
      </c>
      <c r="AL210" s="2">
        <v>0.72499999999999998</v>
      </c>
      <c r="AM210" s="2">
        <v>0.90900000000000003</v>
      </c>
      <c r="AN210" s="2">
        <v>0.73299999999999998</v>
      </c>
      <c r="AO210" s="2">
        <v>0.71599999999999997</v>
      </c>
      <c r="AP210" s="2">
        <v>0.59199999999999997</v>
      </c>
      <c r="AQ210" s="2">
        <v>1.4139999999999999</v>
      </c>
      <c r="AR210" s="2">
        <v>0.76800000000000002</v>
      </c>
      <c r="AS210" s="2">
        <v>11.48</v>
      </c>
      <c r="AT210" s="2">
        <v>116.2</v>
      </c>
      <c r="AU210" s="2">
        <v>1.5149999999999999</v>
      </c>
      <c r="AV210" s="2">
        <v>0.01</v>
      </c>
      <c r="AW210" s="2">
        <v>5.8999999999999997E-2</v>
      </c>
      <c r="AX210" s="2">
        <v>0.22900000000000001</v>
      </c>
      <c r="AY210" s="2">
        <v>0.71199999999999997</v>
      </c>
      <c r="AZ210" s="2">
        <v>0.6</v>
      </c>
      <c r="BA210" s="2">
        <v>1.25</v>
      </c>
      <c r="BB210" s="2">
        <v>6.2</v>
      </c>
      <c r="BC210" s="2">
        <v>87</v>
      </c>
      <c r="BD210" s="2">
        <v>0.8</v>
      </c>
      <c r="BE210" s="2">
        <v>6.2</v>
      </c>
      <c r="BF210" s="2">
        <v>88</v>
      </c>
      <c r="BG210" s="2">
        <v>72</v>
      </c>
      <c r="BH210" s="2">
        <v>925</v>
      </c>
      <c r="BI210" s="2">
        <v>78</v>
      </c>
      <c r="BJ210" s="2">
        <v>11</v>
      </c>
      <c r="BK210" s="2">
        <v>8.3000000000000007</v>
      </c>
      <c r="BL210" s="2">
        <v>2.4</v>
      </c>
      <c r="BM210" s="2">
        <v>0.8</v>
      </c>
      <c r="BN210" s="2">
        <v>0</v>
      </c>
      <c r="BO210" s="2">
        <v>0.18</v>
      </c>
      <c r="BP210" s="2">
        <v>4.63</v>
      </c>
      <c r="BQ210" s="2">
        <v>0.64</v>
      </c>
    </row>
    <row r="211" spans="1:69" x14ac:dyDescent="0.2">
      <c r="A211">
        <v>20</v>
      </c>
      <c r="B211">
        <v>289</v>
      </c>
      <c r="C211" t="s">
        <v>11</v>
      </c>
      <c r="D211" t="s">
        <v>7</v>
      </c>
      <c r="E211">
        <v>4</v>
      </c>
      <c r="F211" s="2">
        <v>65.697899299766448</v>
      </c>
      <c r="G211" s="2">
        <v>95.078012422360231</v>
      </c>
      <c r="H211" s="2">
        <v>138.47095698566201</v>
      </c>
      <c r="I211" s="2">
        <v>174.15279503105592</v>
      </c>
      <c r="J211" s="2">
        <v>204.16885628542846</v>
      </c>
      <c r="K211" s="2">
        <v>269.23080745341616</v>
      </c>
      <c r="L211" s="2">
        <v>29.380113122593784</v>
      </c>
      <c r="M211" s="2">
        <v>65.061951167987701</v>
      </c>
      <c r="N211" s="2">
        <v>0.21160000000000001</v>
      </c>
      <c r="O211" s="2">
        <v>3.5133999999999999</v>
      </c>
      <c r="P211" s="2">
        <v>0.48117249154453212</v>
      </c>
      <c r="Q211" s="2">
        <v>3.5234000000000005</v>
      </c>
      <c r="R211" s="2">
        <v>3.1429999999999998</v>
      </c>
      <c r="S211" s="2">
        <v>6.4227733934611049</v>
      </c>
      <c r="T211" s="2">
        <v>13.183</v>
      </c>
      <c r="U211" s="2">
        <v>11.267799999999999</v>
      </c>
      <c r="V211" s="2">
        <v>7.5068541149943613</v>
      </c>
      <c r="W211" s="2">
        <v>9.8024541149943651</v>
      </c>
      <c r="X211" s="2">
        <v>6.903945885005637</v>
      </c>
      <c r="Y211" s="2">
        <v>119.69</v>
      </c>
      <c r="Z211" s="2">
        <v>39.549999999999997</v>
      </c>
      <c r="AA211" s="2">
        <v>46.38</v>
      </c>
      <c r="AB211" s="2">
        <v>26.34</v>
      </c>
      <c r="AC211" s="2">
        <v>7.02</v>
      </c>
      <c r="AD211" s="2">
        <v>11.01</v>
      </c>
      <c r="AE211" s="2">
        <v>61.64</v>
      </c>
      <c r="AF211" s="2">
        <v>72.7</v>
      </c>
      <c r="AG211" s="2">
        <v>60.6</v>
      </c>
      <c r="AH211" s="2">
        <v>12</v>
      </c>
      <c r="AI211" s="2">
        <v>37.119999999999997</v>
      </c>
      <c r="AJ211" s="2">
        <v>9.92</v>
      </c>
      <c r="AK211" s="2">
        <v>1.2270000000000001</v>
      </c>
      <c r="AL211" s="2">
        <v>0.63600000000000001</v>
      </c>
      <c r="AM211" s="2">
        <v>0.84499999999999997</v>
      </c>
      <c r="AN211" s="2">
        <v>0.51800000000000002</v>
      </c>
      <c r="AO211" s="2">
        <v>0.78</v>
      </c>
      <c r="AP211" s="2">
        <v>0.27800000000000002</v>
      </c>
      <c r="AQ211" s="2">
        <v>1.5149999999999999</v>
      </c>
      <c r="AR211" s="2">
        <v>0.40799999999999997</v>
      </c>
      <c r="AS211" s="2">
        <v>5.59</v>
      </c>
      <c r="AT211" s="2">
        <v>70.599999999999994</v>
      </c>
      <c r="AU211" s="2">
        <v>1.6619999999999999</v>
      </c>
      <c r="AV211" s="2">
        <v>0.02</v>
      </c>
      <c r="AW211" s="2">
        <v>6.8000000000000005E-2</v>
      </c>
      <c r="AX211" s="2">
        <v>0.189</v>
      </c>
      <c r="AY211" s="2">
        <v>0.74299999999999999</v>
      </c>
      <c r="AZ211" s="2">
        <v>0.22</v>
      </c>
      <c r="BA211" s="2">
        <v>1.44</v>
      </c>
      <c r="BB211" s="2">
        <v>3.2</v>
      </c>
      <c r="BC211" s="2">
        <v>82</v>
      </c>
      <c r="BD211" s="2">
        <v>0.6</v>
      </c>
      <c r="BE211" s="2">
        <v>6.1</v>
      </c>
      <c r="BF211" s="2">
        <v>58</v>
      </c>
      <c r="BG211" s="2">
        <v>79</v>
      </c>
      <c r="BH211" s="2">
        <v>394</v>
      </c>
      <c r="BI211" s="2">
        <v>57</v>
      </c>
      <c r="BJ211" s="2">
        <v>8</v>
      </c>
      <c r="BK211" s="2">
        <v>7.8</v>
      </c>
      <c r="BL211" s="2">
        <v>2.8</v>
      </c>
      <c r="BM211" s="2">
        <v>0.6</v>
      </c>
      <c r="BN211" s="2">
        <v>0</v>
      </c>
      <c r="BO211" s="2">
        <v>0.2</v>
      </c>
      <c r="BP211" s="2">
        <v>1.97</v>
      </c>
      <c r="BQ211" s="2">
        <v>0.47</v>
      </c>
    </row>
    <row r="212" spans="1:69" x14ac:dyDescent="0.2">
      <c r="A212">
        <v>20</v>
      </c>
      <c r="B212">
        <v>291</v>
      </c>
      <c r="C212" t="s">
        <v>11</v>
      </c>
      <c r="D212" t="s">
        <v>7</v>
      </c>
      <c r="E212">
        <v>1</v>
      </c>
      <c r="F212" s="2">
        <v>84.647872340425522</v>
      </c>
      <c r="G212" s="2">
        <v>125.5251533742331</v>
      </c>
      <c r="H212" s="2">
        <v>136.04122340425531</v>
      </c>
      <c r="I212" s="2">
        <v>156.20907975460119</v>
      </c>
      <c r="J212" s="2">
        <v>220.68909574468083</v>
      </c>
      <c r="K212" s="2">
        <v>281.73423312883426</v>
      </c>
      <c r="L212" s="2">
        <v>40.877281033807577</v>
      </c>
      <c r="M212" s="2">
        <v>61.045137384153435</v>
      </c>
      <c r="N212" s="2">
        <v>0.1714</v>
      </c>
      <c r="O212" s="2">
        <v>2.4369000000000001</v>
      </c>
      <c r="P212" s="2">
        <v>0.54577181208053693</v>
      </c>
      <c r="Q212" s="2">
        <v>3.9805999999999999</v>
      </c>
      <c r="R212" s="2">
        <v>5.1025999999999998</v>
      </c>
      <c r="S212" s="2">
        <v>4.1374496644295302</v>
      </c>
      <c r="T212" s="2">
        <v>8.7958000000000016</v>
      </c>
      <c r="U212" s="2">
        <v>4.7482000000000006</v>
      </c>
      <c r="V212" s="2">
        <v>5.1675785234899321</v>
      </c>
      <c r="W212" s="2">
        <v>8.0931785234899358</v>
      </c>
      <c r="X212" s="2">
        <v>4.6832214765100675</v>
      </c>
      <c r="Y212" s="2">
        <v>121.08</v>
      </c>
      <c r="Z212" s="2">
        <v>15.54</v>
      </c>
      <c r="AA212" s="2">
        <v>49.62</v>
      </c>
      <c r="AB212" s="2">
        <v>48.17</v>
      </c>
      <c r="AC212" s="2">
        <v>7.35</v>
      </c>
      <c r="AD212" s="2">
        <v>11.63</v>
      </c>
      <c r="AE212" s="2">
        <v>60.07</v>
      </c>
      <c r="AF212" s="2">
        <v>71.7</v>
      </c>
      <c r="AG212" s="2">
        <v>61.3</v>
      </c>
      <c r="AH212" s="2">
        <v>10.4</v>
      </c>
      <c r="AI212" s="2">
        <v>41.94</v>
      </c>
      <c r="AJ212" s="2">
        <v>7.44</v>
      </c>
      <c r="AK212" s="2">
        <v>0.68700000000000006</v>
      </c>
      <c r="AL212" s="2">
        <v>0.64100000000000001</v>
      </c>
      <c r="AM212" s="2">
        <v>1.1000000000000001</v>
      </c>
      <c r="AN212" s="2">
        <v>0.93200000000000005</v>
      </c>
      <c r="AO212" s="2">
        <v>0.44</v>
      </c>
      <c r="AP212" s="2">
        <v>0.748</v>
      </c>
      <c r="AQ212" s="2">
        <v>1.5329999999999999</v>
      </c>
      <c r="AR212" s="2">
        <v>0.378</v>
      </c>
      <c r="AS212" s="2">
        <v>4.5199999999999996</v>
      </c>
      <c r="AT212" s="2">
        <v>80.400000000000006</v>
      </c>
      <c r="AU212" s="2">
        <v>1.5660000000000001</v>
      </c>
      <c r="AV212" s="2">
        <v>0.19</v>
      </c>
      <c r="AW212" s="2">
        <v>4.7E-2</v>
      </c>
      <c r="AX212" s="2">
        <v>0.13300000000000001</v>
      </c>
      <c r="AY212" s="2">
        <v>0.82</v>
      </c>
      <c r="AZ212" s="2">
        <v>0.13</v>
      </c>
      <c r="BA212" s="2">
        <v>1.43</v>
      </c>
      <c r="BB212" s="2">
        <v>2.9</v>
      </c>
      <c r="BC212" s="2">
        <v>93</v>
      </c>
      <c r="BD212" s="2">
        <v>0.2</v>
      </c>
      <c r="BE212" s="2">
        <v>6.6</v>
      </c>
      <c r="BF212" s="2">
        <v>74</v>
      </c>
      <c r="BG212" s="2">
        <v>75</v>
      </c>
      <c r="BH212" s="2">
        <v>418</v>
      </c>
      <c r="BI212" s="2">
        <v>53</v>
      </c>
      <c r="BJ212" s="2">
        <v>6</v>
      </c>
      <c r="BK212" s="2">
        <v>12.1</v>
      </c>
      <c r="BL212" s="2">
        <v>2.7</v>
      </c>
      <c r="BM212" s="2">
        <v>0.7</v>
      </c>
      <c r="BN212" s="2">
        <v>0</v>
      </c>
      <c r="BO212" s="2">
        <v>0.19</v>
      </c>
      <c r="BP212" s="2">
        <v>2.09</v>
      </c>
      <c r="BQ212" s="2">
        <v>0.44</v>
      </c>
    </row>
    <row r="213" spans="1:69" x14ac:dyDescent="0.2">
      <c r="A213">
        <v>10</v>
      </c>
      <c r="B213">
        <v>297</v>
      </c>
      <c r="C213" t="s">
        <v>11</v>
      </c>
      <c r="D213" t="s">
        <v>3</v>
      </c>
      <c r="E213">
        <v>1</v>
      </c>
      <c r="F213" s="2">
        <v>245.5146224066383</v>
      </c>
      <c r="G213" s="2">
        <v>238.73637209302279</v>
      </c>
      <c r="H213" s="2">
        <v>525.74340248962642</v>
      </c>
      <c r="I213" s="2">
        <v>380.66232558139512</v>
      </c>
      <c r="J213" s="2">
        <v>771.25802489626471</v>
      </c>
      <c r="K213" s="2">
        <v>619.39869767441792</v>
      </c>
      <c r="L213" s="2">
        <v>-6.7782503136155015</v>
      </c>
      <c r="M213" s="2">
        <v>-151.8593272218468</v>
      </c>
      <c r="N213" s="2">
        <v>1.3319000000000001</v>
      </c>
      <c r="O213" s="2">
        <v>20.714000000000002</v>
      </c>
      <c r="P213" s="2">
        <v>0.86799999999999999</v>
      </c>
      <c r="Q213" s="2">
        <v>3.8393999999999999</v>
      </c>
      <c r="R213" s="2">
        <v>4.3338000000000001</v>
      </c>
      <c r="S213" s="2">
        <v>14.623999999999999</v>
      </c>
      <c r="T213" s="2">
        <v>48.419599999999996</v>
      </c>
      <c r="U213" s="2">
        <v>56.286800000000007</v>
      </c>
      <c r="V213" s="2">
        <v>45.128600000000013</v>
      </c>
      <c r="W213" s="2">
        <v>36.766999999999996</v>
      </c>
      <c r="X213" s="2">
        <v>15.491999999999999</v>
      </c>
      <c r="Y213" s="2">
        <v>103.86</v>
      </c>
      <c r="Z213" s="2">
        <v>37.71</v>
      </c>
      <c r="AA213" s="2">
        <v>24.68</v>
      </c>
      <c r="AB213" s="2">
        <v>31.18</v>
      </c>
      <c r="AC213" s="2">
        <v>9.76</v>
      </c>
      <c r="AD213" s="2">
        <v>19.420000000000002</v>
      </c>
      <c r="AE213" s="2">
        <v>29.12</v>
      </c>
      <c r="AF213" s="2">
        <v>48.5</v>
      </c>
      <c r="AG213" s="2">
        <v>52.6</v>
      </c>
      <c r="AH213" s="2">
        <v>-4</v>
      </c>
      <c r="AI213" s="2">
        <v>45.73</v>
      </c>
      <c r="AJ213" s="2">
        <v>9.59</v>
      </c>
      <c r="AK213" s="2">
        <v>1.2410000000000001</v>
      </c>
      <c r="AL213" s="2">
        <v>0.78200000000000003</v>
      </c>
      <c r="AM213" s="2">
        <v>0.77800000000000002</v>
      </c>
      <c r="AN213" s="2">
        <v>0.63100000000000001</v>
      </c>
      <c r="AO213" s="2">
        <v>0.97099999999999997</v>
      </c>
      <c r="AP213" s="2">
        <v>0.51500000000000001</v>
      </c>
      <c r="AQ213" s="2">
        <v>1.3149999999999999</v>
      </c>
      <c r="AR213" s="2">
        <v>1.125</v>
      </c>
      <c r="AS213" s="2">
        <v>17.739999999999998</v>
      </c>
      <c r="AT213" s="2">
        <v>157.1</v>
      </c>
      <c r="AU213" s="2">
        <v>1.472</v>
      </c>
      <c r="AV213" s="2">
        <v>0</v>
      </c>
      <c r="AW213" s="2">
        <v>9.1999999999999998E-2</v>
      </c>
      <c r="AX213" s="2">
        <v>0.34399999999999997</v>
      </c>
      <c r="AY213" s="2">
        <v>0.56399999999999995</v>
      </c>
      <c r="AZ213" s="2">
        <v>0.92</v>
      </c>
      <c r="BA213" s="2">
        <v>1.17</v>
      </c>
      <c r="BB213" s="2">
        <v>8.9</v>
      </c>
      <c r="BC213" s="2">
        <v>91</v>
      </c>
      <c r="BD213" s="2">
        <v>0.8</v>
      </c>
      <c r="BE213" s="2">
        <v>6.4</v>
      </c>
      <c r="BF213" s="2">
        <v>82</v>
      </c>
      <c r="BG213" s="2">
        <v>94</v>
      </c>
      <c r="BH213" s="2">
        <v>1243</v>
      </c>
      <c r="BI213" s="2">
        <v>194</v>
      </c>
      <c r="BJ213" s="2">
        <v>12</v>
      </c>
      <c r="BK213" s="2">
        <v>7.7</v>
      </c>
      <c r="BL213" s="2">
        <v>6.6</v>
      </c>
      <c r="BM213" s="2">
        <v>2</v>
      </c>
      <c r="BN213" s="2">
        <v>0</v>
      </c>
      <c r="BO213" s="2">
        <v>0.24</v>
      </c>
      <c r="BP213" s="2">
        <v>6.22</v>
      </c>
      <c r="BQ213" s="2">
        <v>1.6</v>
      </c>
    </row>
    <row r="214" spans="1:69" x14ac:dyDescent="0.2">
      <c r="A214">
        <v>20</v>
      </c>
      <c r="B214">
        <v>11</v>
      </c>
      <c r="C214" t="s">
        <v>13</v>
      </c>
      <c r="D214" t="s">
        <v>0</v>
      </c>
      <c r="E214">
        <v>4</v>
      </c>
      <c r="F214" s="2">
        <v>365.38450184501824</v>
      </c>
      <c r="G214" s="2">
        <v>314.33305033353531</v>
      </c>
      <c r="H214" s="2">
        <v>988.02952029520281</v>
      </c>
      <c r="I214" s="2">
        <v>586.38738629472425</v>
      </c>
      <c r="J214" s="2">
        <v>1353.414022140221</v>
      </c>
      <c r="K214" s="2">
        <v>900.72043662825956</v>
      </c>
      <c r="L214" s="2">
        <v>-51.051451511482924</v>
      </c>
      <c r="M214" s="2">
        <v>-452.69358551196149</v>
      </c>
      <c r="N214" s="2">
        <v>2.8154000000000003</v>
      </c>
      <c r="O214" s="2">
        <v>38.690000000000005</v>
      </c>
      <c r="P214" s="2">
        <v>1.1471999999999998</v>
      </c>
      <c r="Q214" s="2">
        <v>7.5133999999999999</v>
      </c>
      <c r="R214" s="2">
        <v>17.2166</v>
      </c>
      <c r="S214" s="2">
        <v>18.4392</v>
      </c>
      <c r="T214" s="2">
        <v>75.766599999999997</v>
      </c>
      <c r="U214" s="2">
        <v>59.654199999999996</v>
      </c>
      <c r="V214" s="2">
        <v>57.284400000000005</v>
      </c>
      <c r="W214" s="2">
        <v>63.693600000000004</v>
      </c>
      <c r="X214" s="2">
        <v>19.586399999999998</v>
      </c>
      <c r="Y214" s="2">
        <v>75.94</v>
      </c>
      <c r="Z214" s="2">
        <v>33.47</v>
      </c>
      <c r="AA214" s="2">
        <v>20.059999999999999</v>
      </c>
      <c r="AB214" s="2">
        <v>19.39</v>
      </c>
      <c r="AC214" s="2">
        <v>2.79</v>
      </c>
      <c r="AD214" s="2">
        <v>23.15</v>
      </c>
      <c r="AE214" s="2">
        <v>26.06</v>
      </c>
      <c r="AF214" s="2">
        <v>49.2</v>
      </c>
      <c r="AG214" s="2">
        <v>38.5</v>
      </c>
      <c r="AH214" s="2">
        <v>10.8</v>
      </c>
      <c r="AI214" s="2">
        <v>22.98</v>
      </c>
      <c r="AJ214" s="2">
        <v>3.75</v>
      </c>
      <c r="AK214" s="2">
        <v>1.472</v>
      </c>
      <c r="AL214" s="2">
        <v>1.1379999999999999</v>
      </c>
      <c r="AM214" s="2">
        <v>0.91900000000000004</v>
      </c>
      <c r="AN214" s="2">
        <v>0.77300000000000002</v>
      </c>
      <c r="AO214" s="2">
        <v>1.6759999999999999</v>
      </c>
      <c r="AP214" s="2">
        <v>0.69199999999999995</v>
      </c>
      <c r="AQ214" s="2">
        <v>0.96099999999999997</v>
      </c>
      <c r="AR214" s="2">
        <v>2.4990000000000001</v>
      </c>
      <c r="AS214" s="2">
        <v>37.409999999999997</v>
      </c>
      <c r="AT214" s="2">
        <v>313.60000000000002</v>
      </c>
      <c r="AU214" s="2">
        <v>1.107</v>
      </c>
      <c r="AV214" s="2">
        <v>3.95</v>
      </c>
      <c r="AW214" s="2">
        <v>0.153</v>
      </c>
      <c r="AX214" s="2">
        <v>0.216</v>
      </c>
      <c r="AY214" s="2">
        <v>0.63100000000000001</v>
      </c>
      <c r="AZ214" s="2">
        <v>1.94</v>
      </c>
      <c r="BA214" s="2">
        <v>0.84</v>
      </c>
      <c r="BB214" s="2">
        <v>7.3</v>
      </c>
      <c r="BC214" s="2">
        <v>67</v>
      </c>
      <c r="BD214" s="2">
        <v>2.4</v>
      </c>
      <c r="BE214" s="2">
        <v>5.5</v>
      </c>
      <c r="BF214" s="2">
        <v>131</v>
      </c>
      <c r="BG214" s="2">
        <v>30</v>
      </c>
      <c r="BH214" s="2">
        <v>708</v>
      </c>
      <c r="BI214" s="2">
        <v>153</v>
      </c>
      <c r="BJ214" s="2">
        <v>16</v>
      </c>
      <c r="BK214" s="2">
        <v>21.2</v>
      </c>
      <c r="BL214" s="2">
        <v>6.4</v>
      </c>
      <c r="BM214" s="2">
        <v>2</v>
      </c>
      <c r="BN214" s="2">
        <v>0</v>
      </c>
      <c r="BO214" s="2">
        <v>0.08</v>
      </c>
      <c r="BP214" s="2">
        <v>3.54</v>
      </c>
      <c r="BQ214" s="2">
        <v>1.26</v>
      </c>
    </row>
    <row r="215" spans="1:69" x14ac:dyDescent="0.2">
      <c r="A215">
        <v>20</v>
      </c>
      <c r="B215">
        <v>16</v>
      </c>
      <c r="C215" t="s">
        <v>13</v>
      </c>
      <c r="D215" t="s">
        <v>7</v>
      </c>
      <c r="E215">
        <v>4</v>
      </c>
      <c r="F215" s="2">
        <v>248.9727742676622</v>
      </c>
      <c r="G215" s="2">
        <v>407.25609899823206</v>
      </c>
      <c r="H215" s="2">
        <v>391.74037909247556</v>
      </c>
      <c r="I215" s="2">
        <v>712.69817324690632</v>
      </c>
      <c r="J215" s="2">
        <v>640.71315336013777</v>
      </c>
      <c r="K215" s="2">
        <v>1119.9542722451383</v>
      </c>
      <c r="L215" s="2">
        <v>158.28332473056986</v>
      </c>
      <c r="M215" s="2">
        <v>479.24111888500056</v>
      </c>
      <c r="N215" s="2">
        <v>2.2507999999999999</v>
      </c>
      <c r="O215" s="2">
        <v>30.564</v>
      </c>
      <c r="P215" s="2">
        <v>0.90439999999999998</v>
      </c>
      <c r="Q215" s="2">
        <v>14.089399999999999</v>
      </c>
      <c r="R215" s="2">
        <v>32.858599999999996</v>
      </c>
      <c r="S215" s="2">
        <v>15.3994</v>
      </c>
      <c r="T215" s="2">
        <v>47.471800000000002</v>
      </c>
      <c r="U215" s="2">
        <v>32.230599999999995</v>
      </c>
      <c r="V215" s="2">
        <v>48.785399999999996</v>
      </c>
      <c r="W215" s="2">
        <v>45.257400000000004</v>
      </c>
      <c r="X215" s="2">
        <v>16.303799999999999</v>
      </c>
      <c r="Y215" s="2">
        <v>77.349999999999994</v>
      </c>
      <c r="Z215" s="2">
        <v>31.3</v>
      </c>
      <c r="AA215" s="2">
        <v>21.31</v>
      </c>
      <c r="AB215" s="2">
        <v>21.78</v>
      </c>
      <c r="AC215" s="2">
        <v>2.69</v>
      </c>
      <c r="AD215" s="2">
        <v>22.05</v>
      </c>
      <c r="AE215" s="2">
        <v>25.81</v>
      </c>
      <c r="AF215" s="2">
        <v>47.9</v>
      </c>
      <c r="AG215" s="2">
        <v>39.200000000000003</v>
      </c>
      <c r="AH215" s="2">
        <v>8.6999999999999993</v>
      </c>
      <c r="AI215" s="2">
        <v>25.47</v>
      </c>
      <c r="AJ215" s="2">
        <v>4.0199999999999996</v>
      </c>
      <c r="AK215" s="2">
        <v>1.379</v>
      </c>
      <c r="AL215" s="2">
        <v>1.08</v>
      </c>
      <c r="AM215" s="2">
        <v>0.91</v>
      </c>
      <c r="AN215" s="2">
        <v>0.78300000000000003</v>
      </c>
      <c r="AO215" s="2">
        <v>1.4890000000000001</v>
      </c>
      <c r="AP215" s="2">
        <v>0.70399999999999996</v>
      </c>
      <c r="AQ215" s="2">
        <v>0.97899999999999998</v>
      </c>
      <c r="AR215" s="2">
        <v>1.923</v>
      </c>
      <c r="AS215" s="2">
        <v>27.71</v>
      </c>
      <c r="AT215" s="2">
        <v>229.6</v>
      </c>
      <c r="AU215" s="2">
        <v>1.0329999999999999</v>
      </c>
      <c r="AV215" s="2">
        <v>5.07</v>
      </c>
      <c r="AW215" s="2">
        <v>0.14699999999999999</v>
      </c>
      <c r="AX215" s="2">
        <v>0.186</v>
      </c>
      <c r="AY215" s="2">
        <v>0.66700000000000004</v>
      </c>
      <c r="AZ215" s="2">
        <v>1.37</v>
      </c>
      <c r="BA215" s="2">
        <v>0.88</v>
      </c>
      <c r="BB215" s="2">
        <v>9.3000000000000007</v>
      </c>
      <c r="BC215" s="2">
        <v>84</v>
      </c>
      <c r="BD215" s="2">
        <v>1.5</v>
      </c>
      <c r="BE215" s="2">
        <v>6.2</v>
      </c>
      <c r="BF215" s="2">
        <v>114</v>
      </c>
      <c r="BG215" s="2">
        <v>69</v>
      </c>
      <c r="BH215" s="2">
        <v>1148</v>
      </c>
      <c r="BI215" s="2">
        <v>227</v>
      </c>
      <c r="BJ215" s="2">
        <v>15</v>
      </c>
      <c r="BK215" s="2">
        <v>36.5</v>
      </c>
      <c r="BL215" s="2">
        <v>7.8</v>
      </c>
      <c r="BM215" s="2">
        <v>4.8</v>
      </c>
      <c r="BN215" s="2">
        <v>0</v>
      </c>
      <c r="BO215" s="2">
        <v>0.18</v>
      </c>
      <c r="BP215" s="2">
        <v>5.74</v>
      </c>
      <c r="BQ215" s="2">
        <v>1.87</v>
      </c>
    </row>
    <row r="216" spans="1:69" x14ac:dyDescent="0.2">
      <c r="A216">
        <v>10</v>
      </c>
      <c r="B216">
        <v>37</v>
      </c>
      <c r="C216" t="s">
        <v>13</v>
      </c>
      <c r="D216" t="s">
        <v>7</v>
      </c>
      <c r="E216">
        <v>1</v>
      </c>
      <c r="F216" s="2">
        <v>201.03196605374836</v>
      </c>
      <c r="G216" s="2">
        <v>189.97382488479226</v>
      </c>
      <c r="H216" s="2">
        <v>323.46138613861348</v>
      </c>
      <c r="I216" s="2">
        <v>537.79354838709673</v>
      </c>
      <c r="J216" s="2">
        <v>524.49335219236184</v>
      </c>
      <c r="K216" s="2">
        <v>727.76737327188903</v>
      </c>
      <c r="L216" s="2">
        <v>-11.058141168956098</v>
      </c>
      <c r="M216" s="2">
        <v>203.27402107952719</v>
      </c>
      <c r="N216" s="2">
        <v>1.1738999999999999</v>
      </c>
      <c r="O216" s="2">
        <v>14.846</v>
      </c>
      <c r="P216" s="2">
        <v>0.7722</v>
      </c>
      <c r="Q216" s="2">
        <v>2.5968749999999998</v>
      </c>
      <c r="R216" s="2">
        <v>7.0009791921664632</v>
      </c>
      <c r="S216" s="2">
        <v>11.3866</v>
      </c>
      <c r="T216" s="2">
        <v>31.314903846153847</v>
      </c>
      <c r="U216" s="2">
        <v>28.884700122399021</v>
      </c>
      <c r="V216" s="2">
        <v>23.726879314565487</v>
      </c>
      <c r="W216" s="2">
        <v>21.752978846153844</v>
      </c>
      <c r="X216" s="2">
        <v>12.158799999999999</v>
      </c>
      <c r="Y216" s="2">
        <v>83.63</v>
      </c>
      <c r="Z216" s="2">
        <v>35.65</v>
      </c>
      <c r="AA216" s="2">
        <v>19.63</v>
      </c>
      <c r="AB216" s="2">
        <v>25.62</v>
      </c>
      <c r="AC216" s="2">
        <v>2.48</v>
      </c>
      <c r="AD216" s="2">
        <v>9.77</v>
      </c>
      <c r="AE216" s="2">
        <v>24.94</v>
      </c>
      <c r="AF216" s="2">
        <v>34.700000000000003</v>
      </c>
      <c r="AG216" s="2">
        <v>42.3</v>
      </c>
      <c r="AH216" s="2">
        <v>-7.6</v>
      </c>
      <c r="AI216" s="2">
        <v>44.21</v>
      </c>
      <c r="AJ216" s="2">
        <v>4.71</v>
      </c>
      <c r="AK216" s="2">
        <v>1.42</v>
      </c>
      <c r="AL216" s="2">
        <v>0.60399999999999998</v>
      </c>
      <c r="AM216" s="2">
        <v>0.628</v>
      </c>
      <c r="AN216" s="2">
        <v>0.42599999999999999</v>
      </c>
      <c r="AO216" s="2">
        <v>0.85799999999999998</v>
      </c>
      <c r="AP216" s="2">
        <v>0.27400000000000002</v>
      </c>
      <c r="AQ216" s="2">
        <v>1.0589999999999999</v>
      </c>
      <c r="AR216" s="2">
        <v>1.0329999999999999</v>
      </c>
      <c r="AS216" s="2">
        <v>13.49</v>
      </c>
      <c r="AT216" s="2">
        <v>154.4</v>
      </c>
      <c r="AU216" s="2">
        <v>1.27</v>
      </c>
      <c r="AV216" s="2">
        <v>0.08</v>
      </c>
      <c r="AW216" s="2">
        <v>0.13600000000000001</v>
      </c>
      <c r="AX216" s="2">
        <v>0.157</v>
      </c>
      <c r="AY216" s="2">
        <v>0.70699999999999996</v>
      </c>
      <c r="AZ216" s="2">
        <v>0.46</v>
      </c>
      <c r="BA216" s="2">
        <v>0.91</v>
      </c>
      <c r="BB216" s="2">
        <v>4.9000000000000004</v>
      </c>
      <c r="BC216" s="2">
        <v>75</v>
      </c>
      <c r="BD216" s="2">
        <v>1.2</v>
      </c>
      <c r="BE216" s="2">
        <v>5.7</v>
      </c>
      <c r="BF216" s="2">
        <v>54</v>
      </c>
      <c r="BG216" s="2">
        <v>66</v>
      </c>
      <c r="BH216" s="2">
        <v>482</v>
      </c>
      <c r="BI216" s="2">
        <v>136</v>
      </c>
      <c r="BJ216" s="2">
        <v>14</v>
      </c>
      <c r="BK216" s="2">
        <v>108.7</v>
      </c>
      <c r="BL216" s="2">
        <v>6</v>
      </c>
      <c r="BM216" s="2">
        <v>7.1</v>
      </c>
      <c r="BN216" s="2">
        <v>0</v>
      </c>
      <c r="BO216" s="2">
        <v>0.17</v>
      </c>
      <c r="BP216" s="2">
        <v>2.41</v>
      </c>
      <c r="BQ216" s="2">
        <v>1.1200000000000001</v>
      </c>
    </row>
    <row r="217" spans="1:69" x14ac:dyDescent="0.2">
      <c r="A217">
        <v>20</v>
      </c>
      <c r="B217">
        <v>40</v>
      </c>
      <c r="C217" t="s">
        <v>13</v>
      </c>
      <c r="D217" t="s">
        <v>5</v>
      </c>
      <c r="E217">
        <v>1</v>
      </c>
      <c r="F217" s="2">
        <v>528.84765957446803</v>
      </c>
      <c r="G217" s="2">
        <v>564.2664924885695</v>
      </c>
      <c r="H217" s="2">
        <v>755.49665653495447</v>
      </c>
      <c r="I217" s="2">
        <v>797.89261920313527</v>
      </c>
      <c r="J217" s="2">
        <v>1284.3443161094224</v>
      </c>
      <c r="K217" s="2">
        <v>1362.1591116917048</v>
      </c>
      <c r="L217" s="2">
        <v>35.418832914101472</v>
      </c>
      <c r="M217" s="2">
        <v>77.814795582282386</v>
      </c>
      <c r="N217" s="2">
        <v>2.7455000000000003</v>
      </c>
      <c r="O217" s="2">
        <v>30.807000000000002</v>
      </c>
      <c r="P217" s="2">
        <v>0.88480000000000003</v>
      </c>
      <c r="Q217" s="2">
        <v>6.0038000000000009</v>
      </c>
      <c r="R217" s="2">
        <v>5.2514000000000003</v>
      </c>
      <c r="S217" s="2">
        <v>24.905000000000001</v>
      </c>
      <c r="T217" s="2">
        <v>146.46940000000001</v>
      </c>
      <c r="U217" s="2">
        <v>139.49019999999999</v>
      </c>
      <c r="V217" s="2">
        <v>118.95179999999998</v>
      </c>
      <c r="W217" s="2">
        <v>126.68340000000002</v>
      </c>
      <c r="X217" s="2">
        <v>25.7898</v>
      </c>
      <c r="Y217" s="2">
        <v>66.739999999999995</v>
      </c>
      <c r="Z217" s="2">
        <v>44.45</v>
      </c>
      <c r="AA217" s="2">
        <v>13.25</v>
      </c>
      <c r="AB217" s="2">
        <v>7.53</v>
      </c>
      <c r="AC217" s="2">
        <v>1.29</v>
      </c>
      <c r="AD217" s="2">
        <v>36.369999999999997</v>
      </c>
      <c r="AE217" s="2">
        <v>16.649999999999999</v>
      </c>
      <c r="AF217" s="2">
        <v>53</v>
      </c>
      <c r="AG217" s="2">
        <v>33.799999999999997</v>
      </c>
      <c r="AH217" s="2">
        <v>19.2</v>
      </c>
      <c r="AI217" s="2">
        <v>11.51</v>
      </c>
      <c r="AJ217" s="2">
        <v>2.21</v>
      </c>
      <c r="AK217" s="2">
        <v>2.0569999999999999</v>
      </c>
      <c r="AL217" s="2">
        <v>1.75</v>
      </c>
      <c r="AM217" s="2">
        <v>0.91900000000000004</v>
      </c>
      <c r="AN217" s="2">
        <v>0.85099999999999998</v>
      </c>
      <c r="AO217" s="2">
        <v>3.5990000000000002</v>
      </c>
      <c r="AP217" s="2">
        <v>0.81799999999999995</v>
      </c>
      <c r="AQ217" s="2">
        <v>0.84499999999999997</v>
      </c>
      <c r="AR217" s="2">
        <v>2.4159999999999999</v>
      </c>
      <c r="AS217" s="2">
        <v>28.91</v>
      </c>
      <c r="AT217" s="2">
        <v>559.1</v>
      </c>
      <c r="AU217" s="2">
        <v>0.93200000000000005</v>
      </c>
      <c r="AV217" s="2">
        <v>3.01</v>
      </c>
      <c r="AW217" s="2">
        <v>0.224</v>
      </c>
      <c r="AX217" s="2">
        <v>0.21</v>
      </c>
      <c r="AY217" s="2">
        <v>0.56599999999999995</v>
      </c>
      <c r="AZ217" s="2">
        <v>0.32</v>
      </c>
      <c r="BA217" s="2">
        <v>0.68</v>
      </c>
      <c r="BB217" s="2">
        <v>6.6</v>
      </c>
      <c r="BC217" s="2">
        <v>80</v>
      </c>
      <c r="BD217" s="2">
        <v>1.3</v>
      </c>
      <c r="BE217" s="2">
        <v>5.7</v>
      </c>
      <c r="BF217" s="2">
        <v>36</v>
      </c>
      <c r="BG217" s="2">
        <v>93</v>
      </c>
      <c r="BH217" s="2">
        <v>732</v>
      </c>
      <c r="BI217" s="2">
        <v>166</v>
      </c>
      <c r="BJ217" s="2">
        <v>13</v>
      </c>
      <c r="BK217" s="2">
        <v>30.9</v>
      </c>
      <c r="BL217" s="2">
        <v>2.9</v>
      </c>
      <c r="BM217" s="2">
        <v>2.1</v>
      </c>
      <c r="BN217" s="2">
        <v>0</v>
      </c>
      <c r="BO217" s="2">
        <v>0.24</v>
      </c>
      <c r="BP217" s="2">
        <v>3.66</v>
      </c>
      <c r="BQ217" s="2">
        <v>1.37</v>
      </c>
    </row>
    <row r="218" spans="1:69" x14ac:dyDescent="0.2">
      <c r="A218">
        <v>20</v>
      </c>
      <c r="B218">
        <v>59</v>
      </c>
      <c r="C218" t="s">
        <v>13</v>
      </c>
      <c r="D218" t="s">
        <v>0</v>
      </c>
      <c r="E218">
        <v>2</v>
      </c>
      <c r="F218" s="2">
        <v>560.71648351648344</v>
      </c>
      <c r="G218" s="2">
        <v>688.90909090909076</v>
      </c>
      <c r="H218" s="2">
        <v>869.75824175824175</v>
      </c>
      <c r="I218" s="2">
        <v>1016.1409090909091</v>
      </c>
      <c r="J218" s="2">
        <v>1430.4747252747252</v>
      </c>
      <c r="K218" s="2">
        <v>1705.0499999999997</v>
      </c>
      <c r="L218" s="2">
        <v>128.19260739260733</v>
      </c>
      <c r="M218" s="2">
        <v>274.57527472527454</v>
      </c>
      <c r="N218" s="2">
        <v>3.1830999999999996</v>
      </c>
      <c r="O218" s="2">
        <v>33.138999999999996</v>
      </c>
      <c r="P218" s="2">
        <v>0.65759999999999996</v>
      </c>
      <c r="Q218" s="2">
        <v>22.981400000000001</v>
      </c>
      <c r="R218" s="2">
        <v>26.169800000000002</v>
      </c>
      <c r="S218" s="2">
        <v>13.1998</v>
      </c>
      <c r="T218" s="2">
        <v>73.766199999999998</v>
      </c>
      <c r="U218" s="2">
        <v>71.464600000000004</v>
      </c>
      <c r="V218" s="2">
        <v>83.777000000000001</v>
      </c>
      <c r="W218" s="2">
        <v>82.890200000000007</v>
      </c>
      <c r="X218" s="2">
        <v>13.8574</v>
      </c>
      <c r="Y218" s="2">
        <v>67.95</v>
      </c>
      <c r="Z218" s="2">
        <v>44.48</v>
      </c>
      <c r="AA218" s="2">
        <v>12.56</v>
      </c>
      <c r="AB218" s="2">
        <v>9.3699999999999992</v>
      </c>
      <c r="AC218" s="2">
        <v>1.39</v>
      </c>
      <c r="AD218" s="2">
        <v>36.42</v>
      </c>
      <c r="AE218" s="2">
        <v>16.98</v>
      </c>
      <c r="AF218" s="2">
        <v>53.4</v>
      </c>
      <c r="AG218" s="2">
        <v>34.4</v>
      </c>
      <c r="AH218" s="2">
        <v>19</v>
      </c>
      <c r="AI218" s="2">
        <v>12.25</v>
      </c>
      <c r="AJ218" s="2">
        <v>2.2999999999999998</v>
      </c>
      <c r="AK218" s="2">
        <v>2.0190000000000001</v>
      </c>
      <c r="AL218" s="2">
        <v>1.726</v>
      </c>
      <c r="AM218" s="2">
        <v>0.93600000000000005</v>
      </c>
      <c r="AN218" s="2">
        <v>0.85499999999999998</v>
      </c>
      <c r="AO218" s="2">
        <v>3.484</v>
      </c>
      <c r="AP218" s="2">
        <v>0.81899999999999995</v>
      </c>
      <c r="AQ218" s="2">
        <v>0.86</v>
      </c>
      <c r="AR218" s="2">
        <v>2.9950000000000001</v>
      </c>
      <c r="AS218" s="2">
        <v>35.1</v>
      </c>
      <c r="AT218" s="2">
        <v>753</v>
      </c>
      <c r="AU218" s="2">
        <v>1.073</v>
      </c>
      <c r="AV218" s="2">
        <v>1.36</v>
      </c>
      <c r="AW218" s="2">
        <v>0.17199999999999999</v>
      </c>
      <c r="AX218" s="2">
        <v>0.19700000000000001</v>
      </c>
      <c r="AY218" s="2">
        <v>0.63100000000000001</v>
      </c>
      <c r="AZ218" s="2">
        <v>0.32</v>
      </c>
      <c r="BA218" s="2">
        <v>0.7</v>
      </c>
      <c r="BB218" s="2">
        <v>8.9</v>
      </c>
      <c r="BC218" s="2">
        <v>85</v>
      </c>
      <c r="BD218" s="2">
        <v>1.4</v>
      </c>
      <c r="BE218" s="2">
        <v>6</v>
      </c>
      <c r="BF218" s="2">
        <v>75</v>
      </c>
      <c r="BG218" s="2">
        <v>43</v>
      </c>
      <c r="BH218" s="2">
        <v>1001</v>
      </c>
      <c r="BI218" s="2">
        <v>297</v>
      </c>
      <c r="BJ218" s="2">
        <v>16</v>
      </c>
      <c r="BK218" s="2">
        <v>21.9</v>
      </c>
      <c r="BL218" s="2">
        <v>13.5</v>
      </c>
      <c r="BM218" s="2">
        <v>2.2000000000000002</v>
      </c>
      <c r="BN218" s="2">
        <v>0</v>
      </c>
      <c r="BO218" s="2">
        <v>0.11</v>
      </c>
      <c r="BP218" s="2">
        <v>5.01</v>
      </c>
      <c r="BQ218" s="2">
        <v>2.44</v>
      </c>
    </row>
    <row r="219" spans="1:69" x14ac:dyDescent="0.2">
      <c r="A219">
        <v>20</v>
      </c>
      <c r="B219">
        <v>75</v>
      </c>
      <c r="C219" t="s">
        <v>13</v>
      </c>
      <c r="D219" t="s">
        <v>5</v>
      </c>
      <c r="E219">
        <v>3</v>
      </c>
      <c r="F219" s="2">
        <v>425.50853835021695</v>
      </c>
      <c r="G219" s="2">
        <v>467.26007905138334</v>
      </c>
      <c r="H219" s="2">
        <v>1454.1863965267728</v>
      </c>
      <c r="I219" s="2">
        <v>1285.9636363636364</v>
      </c>
      <c r="J219" s="2">
        <v>1879.6949348769897</v>
      </c>
      <c r="K219" s="2">
        <v>1753.2237154150198</v>
      </c>
      <c r="L219" s="2">
        <v>41.751540701166391</v>
      </c>
      <c r="M219" s="2">
        <v>-126.47121946196989</v>
      </c>
      <c r="N219" s="2">
        <v>4.1310000000000002</v>
      </c>
      <c r="O219" s="2">
        <v>59.930000000000007</v>
      </c>
      <c r="P219" s="2">
        <v>1.3317999999999999</v>
      </c>
      <c r="Q219" s="2">
        <v>2.8010000000000002</v>
      </c>
      <c r="R219" s="2">
        <v>3.6542000000000003</v>
      </c>
      <c r="S219" s="2">
        <v>38.632399999999997</v>
      </c>
      <c r="T219" s="2">
        <v>157.13980000000001</v>
      </c>
      <c r="U219" s="2">
        <v>158.64340000000001</v>
      </c>
      <c r="V219" s="2">
        <v>122.33340000000001</v>
      </c>
      <c r="W219" s="2">
        <v>119.97659999999999</v>
      </c>
      <c r="X219" s="2">
        <v>39.964199999999998</v>
      </c>
      <c r="Y219" s="2">
        <v>60.76</v>
      </c>
      <c r="Z219" s="2">
        <v>28.89</v>
      </c>
      <c r="AA219" s="2">
        <v>16.760000000000002</v>
      </c>
      <c r="AB219" s="2">
        <v>12.58</v>
      </c>
      <c r="AC219" s="2">
        <v>2.2400000000000002</v>
      </c>
      <c r="AD219" s="2">
        <v>28.94</v>
      </c>
      <c r="AE219" s="2">
        <v>17.420000000000002</v>
      </c>
      <c r="AF219" s="2">
        <v>46.4</v>
      </c>
      <c r="AG219" s="2">
        <v>30.8</v>
      </c>
      <c r="AH219" s="2">
        <v>15.6</v>
      </c>
      <c r="AI219" s="2">
        <v>12.07</v>
      </c>
      <c r="AJ219" s="2">
        <v>2.33</v>
      </c>
      <c r="AK219" s="2">
        <v>1.5720000000000001</v>
      </c>
      <c r="AL219" s="2">
        <v>1.58</v>
      </c>
      <c r="AM219" s="2">
        <v>1.016</v>
      </c>
      <c r="AN219" s="2">
        <v>1.0049999999999999</v>
      </c>
      <c r="AO219" s="2">
        <v>2.4830000000000001</v>
      </c>
      <c r="AP219" s="2">
        <v>1.002</v>
      </c>
      <c r="AQ219" s="2">
        <v>0.76900000000000002</v>
      </c>
      <c r="AR219" s="2">
        <v>3.6709999999999998</v>
      </c>
      <c r="AS219" s="2">
        <v>57.91</v>
      </c>
      <c r="AT219" s="2">
        <v>681.4</v>
      </c>
      <c r="AU219" s="2">
        <v>0.75600000000000001</v>
      </c>
      <c r="AV219" s="2">
        <v>6.55</v>
      </c>
      <c r="AW219" s="2">
        <v>0.23599999999999999</v>
      </c>
      <c r="AX219" s="2">
        <v>0.23899999999999999</v>
      </c>
      <c r="AY219" s="2">
        <v>0.52500000000000002</v>
      </c>
      <c r="AZ219" s="2">
        <v>0.97</v>
      </c>
      <c r="BA219" s="2">
        <v>0.56999999999999995</v>
      </c>
      <c r="BB219" s="2">
        <v>4.9000000000000004</v>
      </c>
      <c r="BC219" s="2">
        <v>43</v>
      </c>
      <c r="BD219" s="2">
        <v>2.8</v>
      </c>
      <c r="BE219" s="2">
        <v>4.8</v>
      </c>
      <c r="BF219" s="2">
        <v>10</v>
      </c>
      <c r="BG219" s="2">
        <v>116</v>
      </c>
      <c r="BH219" s="2">
        <v>244</v>
      </c>
      <c r="BI219" s="2">
        <v>68</v>
      </c>
      <c r="BJ219" s="2">
        <v>23</v>
      </c>
      <c r="BK219" s="2">
        <v>56.6</v>
      </c>
      <c r="BL219" s="2">
        <v>1.5</v>
      </c>
      <c r="BM219" s="2">
        <v>1.5</v>
      </c>
      <c r="BN219" s="2">
        <v>0</v>
      </c>
      <c r="BO219" s="2">
        <v>0.3</v>
      </c>
      <c r="BP219" s="2">
        <v>1.22</v>
      </c>
      <c r="BQ219" s="2">
        <v>0.56000000000000005</v>
      </c>
    </row>
    <row r="220" spans="1:69" x14ac:dyDescent="0.2">
      <c r="A220">
        <v>20</v>
      </c>
      <c r="B220">
        <v>79</v>
      </c>
      <c r="C220" t="s">
        <v>13</v>
      </c>
      <c r="D220" t="s">
        <v>0</v>
      </c>
      <c r="E220">
        <v>1</v>
      </c>
      <c r="F220" s="2">
        <v>580.92219679633854</v>
      </c>
      <c r="G220" s="2">
        <v>689.61971346704865</v>
      </c>
      <c r="H220" s="2">
        <v>922.53913043478246</v>
      </c>
      <c r="I220" s="2">
        <v>889.38361031518627</v>
      </c>
      <c r="J220" s="2">
        <v>1503.461327231121</v>
      </c>
      <c r="K220" s="2">
        <v>1579.0033237822349</v>
      </c>
      <c r="L220" s="2">
        <v>108.69751667071012</v>
      </c>
      <c r="M220" s="2">
        <v>75.541996551113925</v>
      </c>
      <c r="N220" s="2">
        <v>3.1785000000000001</v>
      </c>
      <c r="O220" s="2">
        <v>32.086999999999996</v>
      </c>
      <c r="P220" s="2">
        <v>0.65480000000000005</v>
      </c>
      <c r="Q220" s="2">
        <v>13.5314</v>
      </c>
      <c r="R220" s="2">
        <v>14.4002</v>
      </c>
      <c r="S220" s="2">
        <v>10.474</v>
      </c>
      <c r="T220" s="2">
        <v>97.278999999999996</v>
      </c>
      <c r="U220" s="2">
        <v>89.662599999999998</v>
      </c>
      <c r="V220" s="2">
        <v>92.933999999999997</v>
      </c>
      <c r="W220" s="2">
        <v>99.681600000000003</v>
      </c>
      <c r="X220" s="2">
        <v>11.1288</v>
      </c>
      <c r="Y220" s="2">
        <v>72.459999999999994</v>
      </c>
      <c r="Z220" s="2">
        <v>45.17</v>
      </c>
      <c r="AA220" s="2">
        <v>15.86</v>
      </c>
      <c r="AB220" s="2">
        <v>10.11</v>
      </c>
      <c r="AC220" s="2">
        <v>1.17</v>
      </c>
      <c r="AD220" s="2">
        <v>39.07</v>
      </c>
      <c r="AE220" s="2">
        <v>18.64</v>
      </c>
      <c r="AF220" s="2">
        <v>57.7</v>
      </c>
      <c r="AG220" s="2">
        <v>36.700000000000003</v>
      </c>
      <c r="AH220" s="2">
        <v>21</v>
      </c>
      <c r="AI220" s="2">
        <v>12.57</v>
      </c>
      <c r="AJ220" s="2">
        <v>2.1800000000000002</v>
      </c>
      <c r="AK220" s="2">
        <v>1.9510000000000001</v>
      </c>
      <c r="AL220" s="2">
        <v>1.738</v>
      </c>
      <c r="AM220" s="2">
        <v>0.94599999999999995</v>
      </c>
      <c r="AN220" s="2">
        <v>0.89100000000000001</v>
      </c>
      <c r="AO220" s="2">
        <v>3.391</v>
      </c>
      <c r="AP220" s="2">
        <v>0.86499999999999999</v>
      </c>
      <c r="AQ220" s="2">
        <v>0.91700000000000004</v>
      </c>
      <c r="AR220" s="2">
        <v>2.746</v>
      </c>
      <c r="AS220" s="2">
        <v>29.87</v>
      </c>
      <c r="AT220" s="2">
        <v>673.5</v>
      </c>
      <c r="AU220" s="2">
        <v>1.0940000000000001</v>
      </c>
      <c r="AV220" s="2">
        <v>3.64</v>
      </c>
      <c r="AW220" s="2">
        <v>0.18099999999999999</v>
      </c>
      <c r="AX220" s="2">
        <v>0.184</v>
      </c>
      <c r="AY220" s="2">
        <v>0.63500000000000001</v>
      </c>
      <c r="AZ220" s="2">
        <v>0.22</v>
      </c>
      <c r="BA220" s="2">
        <v>0.75</v>
      </c>
      <c r="BB220" s="2">
        <v>7.7</v>
      </c>
      <c r="BC220" s="2">
        <v>85</v>
      </c>
      <c r="BD220" s="2">
        <v>1.1000000000000001</v>
      </c>
      <c r="BE220" s="2">
        <v>6</v>
      </c>
      <c r="BF220" s="2">
        <v>19</v>
      </c>
      <c r="BG220" s="2">
        <v>46</v>
      </c>
      <c r="BH220" s="2">
        <v>900</v>
      </c>
      <c r="BI220" s="2">
        <v>237</v>
      </c>
      <c r="BJ220" s="2">
        <v>14</v>
      </c>
      <c r="BK220" s="2">
        <v>18.100000000000001</v>
      </c>
      <c r="BL220" s="2">
        <v>13.2</v>
      </c>
      <c r="BM220" s="2">
        <v>2.1</v>
      </c>
      <c r="BN220" s="2">
        <v>0.1</v>
      </c>
      <c r="BO220" s="2">
        <v>0.12</v>
      </c>
      <c r="BP220" s="2">
        <v>4.5</v>
      </c>
      <c r="BQ220" s="2">
        <v>1.95</v>
      </c>
    </row>
    <row r="221" spans="1:69" x14ac:dyDescent="0.2">
      <c r="A221">
        <v>20</v>
      </c>
      <c r="B221">
        <v>136</v>
      </c>
      <c r="C221" t="s">
        <v>13</v>
      </c>
      <c r="D221" t="s">
        <v>5</v>
      </c>
      <c r="E221">
        <v>4</v>
      </c>
      <c r="F221" s="2">
        <v>615.1433911882508</v>
      </c>
      <c r="G221" s="2">
        <v>565.92736572889999</v>
      </c>
      <c r="H221" s="2">
        <v>1040.0779706275034</v>
      </c>
      <c r="I221" s="2">
        <v>1157.0501278772381</v>
      </c>
      <c r="J221" s="2">
        <v>1655.2213618157543</v>
      </c>
      <c r="K221" s="2">
        <v>1722.9774936061381</v>
      </c>
      <c r="L221" s="2">
        <v>-49.216025459350817</v>
      </c>
      <c r="M221" s="2">
        <v>67.756131790383733</v>
      </c>
      <c r="N221" s="2">
        <v>3.8155000000000001</v>
      </c>
      <c r="O221" s="2">
        <v>65.144999999999996</v>
      </c>
      <c r="P221" s="2">
        <v>0.86160000000000003</v>
      </c>
      <c r="Q221" s="2">
        <v>5.8777999999999997</v>
      </c>
      <c r="R221" s="2">
        <v>5.8394000000000004</v>
      </c>
      <c r="S221" s="2">
        <v>27.495799999999999</v>
      </c>
      <c r="T221" s="2">
        <v>121.7086</v>
      </c>
      <c r="U221" s="2">
        <v>117.93459999999999</v>
      </c>
      <c r="V221" s="2">
        <v>95.416599999999988</v>
      </c>
      <c r="W221" s="2">
        <v>99.228999999999999</v>
      </c>
      <c r="X221" s="2">
        <v>28.357399999999998</v>
      </c>
      <c r="Y221" s="2">
        <v>64.400000000000006</v>
      </c>
      <c r="Z221" s="2">
        <v>31.33</v>
      </c>
      <c r="AA221" s="2">
        <v>15.24</v>
      </c>
      <c r="AB221" s="2">
        <v>15.71</v>
      </c>
      <c r="AC221" s="2">
        <v>1.85</v>
      </c>
      <c r="AD221" s="2">
        <v>31.58</v>
      </c>
      <c r="AE221" s="2">
        <v>15.67</v>
      </c>
      <c r="AF221" s="2">
        <v>47.3</v>
      </c>
      <c r="AG221" s="2">
        <v>32.6</v>
      </c>
      <c r="AH221" s="2">
        <v>14.6</v>
      </c>
      <c r="AI221" s="2">
        <v>14.83</v>
      </c>
      <c r="AJ221" s="2">
        <v>2.3199999999999998</v>
      </c>
      <c r="AK221" s="2">
        <v>1.585</v>
      </c>
      <c r="AL221" s="2">
        <v>1.5980000000000001</v>
      </c>
      <c r="AM221" s="2">
        <v>1.0149999999999999</v>
      </c>
      <c r="AN221" s="2">
        <v>1.008</v>
      </c>
      <c r="AO221" s="2">
        <v>2.532</v>
      </c>
      <c r="AP221" s="2">
        <v>1.008</v>
      </c>
      <c r="AQ221" s="2">
        <v>0.81499999999999995</v>
      </c>
      <c r="AR221" s="2">
        <v>3.0539999999999998</v>
      </c>
      <c r="AS221" s="2">
        <v>56.47</v>
      </c>
      <c r="AT221" s="2">
        <v>709.5</v>
      </c>
      <c r="AU221" s="2">
        <v>0.75</v>
      </c>
      <c r="AV221" s="2">
        <v>8.14</v>
      </c>
      <c r="AW221" s="2">
        <v>0.18</v>
      </c>
      <c r="AX221" s="2">
        <v>0.216</v>
      </c>
      <c r="AY221" s="2">
        <v>0.60299999999999998</v>
      </c>
      <c r="AZ221" s="2">
        <v>1.02</v>
      </c>
      <c r="BA221" s="2">
        <v>0.67</v>
      </c>
      <c r="BB221" s="2">
        <v>7</v>
      </c>
      <c r="BC221" s="2">
        <v>58</v>
      </c>
      <c r="BD221" s="2">
        <v>2.9</v>
      </c>
      <c r="BE221" s="2">
        <v>5.0999999999999996</v>
      </c>
      <c r="BF221" s="2">
        <v>61</v>
      </c>
      <c r="BG221" s="2">
        <v>101</v>
      </c>
      <c r="BH221" s="2">
        <v>579</v>
      </c>
      <c r="BI221" s="2">
        <v>117</v>
      </c>
      <c r="BJ221" s="2">
        <v>14</v>
      </c>
      <c r="BK221" s="2">
        <v>50.2</v>
      </c>
      <c r="BL221" s="2">
        <v>1</v>
      </c>
      <c r="BM221" s="2">
        <v>1.2</v>
      </c>
      <c r="BN221" s="2">
        <v>0</v>
      </c>
      <c r="BO221" s="2">
        <v>0.26</v>
      </c>
      <c r="BP221" s="2">
        <v>2.9</v>
      </c>
      <c r="BQ221" s="2">
        <v>0.96</v>
      </c>
    </row>
    <row r="222" spans="1:69" x14ac:dyDescent="0.2">
      <c r="A222">
        <v>20</v>
      </c>
      <c r="B222">
        <v>181</v>
      </c>
      <c r="C222" t="s">
        <v>13</v>
      </c>
      <c r="D222" t="s">
        <v>0</v>
      </c>
      <c r="E222">
        <v>3</v>
      </c>
      <c r="F222" s="2">
        <v>655.48832951945064</v>
      </c>
      <c r="G222" s="2">
        <v>732.3704697986575</v>
      </c>
      <c r="H222" s="2">
        <v>849.70709382151028</v>
      </c>
      <c r="I222" s="2">
        <v>930.25845027455762</v>
      </c>
      <c r="J222" s="2">
        <v>1505.195423340961</v>
      </c>
      <c r="K222" s="2">
        <v>1662.6289200732151</v>
      </c>
      <c r="L222" s="2">
        <v>76.882140279206851</v>
      </c>
      <c r="M222" s="2">
        <v>157.43349673225407</v>
      </c>
      <c r="N222" s="2">
        <v>3.9190999999999998</v>
      </c>
      <c r="O222" s="2">
        <v>41.092000000000006</v>
      </c>
      <c r="P222" s="2">
        <v>0.72440000000000004</v>
      </c>
      <c r="Q222" s="2">
        <v>18.8642</v>
      </c>
      <c r="R222" s="2">
        <v>22.547000000000004</v>
      </c>
      <c r="S222" s="2">
        <v>17.369199999999999</v>
      </c>
      <c r="T222" s="2">
        <v>109.17099999999999</v>
      </c>
      <c r="U222" s="2">
        <v>117.8494</v>
      </c>
      <c r="V222" s="2">
        <v>122.3028</v>
      </c>
      <c r="W222" s="2">
        <v>109.94160000000001</v>
      </c>
      <c r="X222" s="2">
        <v>18.093599999999999</v>
      </c>
      <c r="Y222" s="2">
        <v>70.22</v>
      </c>
      <c r="Z222" s="2">
        <v>41.51</v>
      </c>
      <c r="AA222" s="2">
        <v>17.260000000000002</v>
      </c>
      <c r="AB222" s="2">
        <v>9.86</v>
      </c>
      <c r="AC222" s="2">
        <v>1.39</v>
      </c>
      <c r="AD222" s="2">
        <v>36.01</v>
      </c>
      <c r="AE222" s="2">
        <v>20.46</v>
      </c>
      <c r="AF222" s="2">
        <v>56.5</v>
      </c>
      <c r="AG222" s="2">
        <v>35.6</v>
      </c>
      <c r="AH222" s="2">
        <v>20.9</v>
      </c>
      <c r="AI222" s="2">
        <v>11.29</v>
      </c>
      <c r="AJ222" s="2">
        <v>2.46</v>
      </c>
      <c r="AK222" s="2">
        <v>1.875</v>
      </c>
      <c r="AL222" s="2">
        <v>1.6819999999999999</v>
      </c>
      <c r="AM222" s="2">
        <v>0.96099999999999997</v>
      </c>
      <c r="AN222" s="2">
        <v>0.89700000000000002</v>
      </c>
      <c r="AO222" s="2">
        <v>3.1539999999999999</v>
      </c>
      <c r="AP222" s="2">
        <v>0.86799999999999999</v>
      </c>
      <c r="AQ222" s="2">
        <v>0.88900000000000001</v>
      </c>
      <c r="AR222" s="2">
        <v>3.3660000000000001</v>
      </c>
      <c r="AS222" s="2">
        <v>37.71</v>
      </c>
      <c r="AT222" s="2">
        <v>704.9</v>
      </c>
      <c r="AU222" s="2">
        <v>1.0189999999999999</v>
      </c>
      <c r="AV222" s="2">
        <v>3.45</v>
      </c>
      <c r="AW222" s="2">
        <v>0.222</v>
      </c>
      <c r="AX222" s="2">
        <v>0.252</v>
      </c>
      <c r="AY222" s="2">
        <v>0.52600000000000002</v>
      </c>
      <c r="AZ222" s="2">
        <v>0.66</v>
      </c>
      <c r="BA222" s="2">
        <v>0.75</v>
      </c>
      <c r="BB222" s="2">
        <v>11.7</v>
      </c>
      <c r="BC222" s="2">
        <v>89</v>
      </c>
      <c r="BD222" s="2">
        <v>1.3</v>
      </c>
      <c r="BE222" s="2">
        <v>6.2</v>
      </c>
      <c r="BF222" s="2">
        <v>64</v>
      </c>
      <c r="BG222" s="2">
        <v>57</v>
      </c>
      <c r="BH222" s="2">
        <v>1451</v>
      </c>
      <c r="BI222" s="2">
        <v>357</v>
      </c>
      <c r="BJ222" s="2">
        <v>18</v>
      </c>
      <c r="BK222" s="2">
        <v>48.2</v>
      </c>
      <c r="BL222" s="2">
        <v>16.8</v>
      </c>
      <c r="BM222" s="2">
        <v>2.7</v>
      </c>
      <c r="BN222" s="2">
        <v>0</v>
      </c>
      <c r="BO222" s="2">
        <v>0.15</v>
      </c>
      <c r="BP222" s="2">
        <v>7.26</v>
      </c>
      <c r="BQ222" s="2">
        <v>2.94</v>
      </c>
    </row>
    <row r="223" spans="1:69" x14ac:dyDescent="0.2">
      <c r="A223">
        <v>20</v>
      </c>
      <c r="B223">
        <v>224</v>
      </c>
      <c r="C223" t="s">
        <v>13</v>
      </c>
      <c r="D223" t="s">
        <v>5</v>
      </c>
      <c r="E223">
        <v>2</v>
      </c>
      <c r="F223" s="2">
        <v>401.62900461437039</v>
      </c>
      <c r="G223" s="2">
        <v>432.38847006651878</v>
      </c>
      <c r="H223" s="2">
        <v>807.25431773236653</v>
      </c>
      <c r="I223" s="2">
        <v>905.10332594235047</v>
      </c>
      <c r="J223" s="2">
        <v>1208.8833223467368</v>
      </c>
      <c r="K223" s="2">
        <v>1337.4917960088692</v>
      </c>
      <c r="L223" s="2">
        <v>30.75946545214839</v>
      </c>
      <c r="M223" s="2">
        <v>128.60847366213238</v>
      </c>
      <c r="N223" s="2">
        <v>3.0757000000000003</v>
      </c>
      <c r="O223" s="2">
        <v>44.584000000000003</v>
      </c>
      <c r="P223" s="2">
        <v>0.80720000000000003</v>
      </c>
      <c r="Q223" s="2">
        <v>5.8154000000000003</v>
      </c>
      <c r="R223" s="2">
        <v>4.7702</v>
      </c>
      <c r="S223" s="2">
        <v>28.009799999999998</v>
      </c>
      <c r="T223" s="2">
        <v>136.65939999999998</v>
      </c>
      <c r="U223" s="2">
        <v>126.78460000000001</v>
      </c>
      <c r="V223" s="2">
        <v>102.73779999999999</v>
      </c>
      <c r="W223" s="2">
        <v>113.65779999999998</v>
      </c>
      <c r="X223" s="2">
        <v>28.817</v>
      </c>
      <c r="Y223" s="2">
        <v>61.95</v>
      </c>
      <c r="Z223" s="2">
        <v>37.81</v>
      </c>
      <c r="AA223" s="2">
        <v>14.05</v>
      </c>
      <c r="AB223" s="2">
        <v>8.83</v>
      </c>
      <c r="AC223" s="2">
        <v>1.08</v>
      </c>
      <c r="AD223" s="2">
        <v>31.04</v>
      </c>
      <c r="AE223" s="2">
        <v>16.72</v>
      </c>
      <c r="AF223" s="2">
        <v>47.8</v>
      </c>
      <c r="AG223" s="2">
        <v>31.4</v>
      </c>
      <c r="AH223" s="2">
        <v>16.399999999999999</v>
      </c>
      <c r="AI223" s="2">
        <v>11.87</v>
      </c>
      <c r="AJ223" s="2">
        <v>2.3199999999999998</v>
      </c>
      <c r="AK223" s="2">
        <v>1.919</v>
      </c>
      <c r="AL223" s="2">
        <v>1.639</v>
      </c>
      <c r="AM223" s="2">
        <v>0.92100000000000004</v>
      </c>
      <c r="AN223" s="2">
        <v>0.85399999999999998</v>
      </c>
      <c r="AO223" s="2">
        <v>3.145</v>
      </c>
      <c r="AP223" s="2">
        <v>0.82099999999999995</v>
      </c>
      <c r="AQ223" s="2">
        <v>0.78400000000000003</v>
      </c>
      <c r="AR223" s="2">
        <v>2.5409999999999999</v>
      </c>
      <c r="AS223" s="2">
        <v>40.07</v>
      </c>
      <c r="AT223" s="2">
        <v>407.3</v>
      </c>
      <c r="AU223" s="2">
        <v>0.84299999999999997</v>
      </c>
      <c r="AV223" s="2">
        <v>2.7</v>
      </c>
      <c r="AW223" s="2">
        <v>0.24</v>
      </c>
      <c r="AX223" s="2">
        <v>0.23200000000000001</v>
      </c>
      <c r="AY223" s="2">
        <v>0.52700000000000002</v>
      </c>
      <c r="AZ223" s="2">
        <v>0.6</v>
      </c>
      <c r="BA223" s="2">
        <v>0.62</v>
      </c>
      <c r="BB223" s="2">
        <v>6.1</v>
      </c>
      <c r="BC223" s="2">
        <v>59</v>
      </c>
      <c r="BD223" s="2">
        <v>2.5</v>
      </c>
      <c r="BE223" s="2">
        <v>4.9000000000000004</v>
      </c>
      <c r="BF223" s="2">
        <v>73</v>
      </c>
      <c r="BG223" s="2">
        <v>87</v>
      </c>
      <c r="BH223" s="2">
        <v>523</v>
      </c>
      <c r="BI223" s="2">
        <v>89</v>
      </c>
      <c r="BJ223" s="2">
        <v>19</v>
      </c>
      <c r="BK223" s="2">
        <v>16.8</v>
      </c>
      <c r="BL223" s="2">
        <v>2.2999999999999998</v>
      </c>
      <c r="BM223" s="2">
        <v>2.2999999999999998</v>
      </c>
      <c r="BN223" s="2">
        <v>0</v>
      </c>
      <c r="BO223" s="2">
        <v>0.22</v>
      </c>
      <c r="BP223" s="2">
        <v>2.62</v>
      </c>
      <c r="BQ223" s="2">
        <v>0.73</v>
      </c>
    </row>
    <row r="224" spans="1:69" x14ac:dyDescent="0.2">
      <c r="A224">
        <v>10</v>
      </c>
      <c r="B224">
        <v>256</v>
      </c>
      <c r="C224" t="s">
        <v>13</v>
      </c>
      <c r="D224" t="s">
        <v>7</v>
      </c>
      <c r="E224">
        <v>3</v>
      </c>
      <c r="F224" s="2">
        <v>197.66190114068388</v>
      </c>
      <c r="G224" s="2">
        <v>170.09984602224094</v>
      </c>
      <c r="H224" s="2">
        <v>337.12015209125474</v>
      </c>
      <c r="I224" s="2">
        <v>352.64602224123166</v>
      </c>
      <c r="J224" s="2">
        <v>534.78205323193856</v>
      </c>
      <c r="K224" s="2">
        <v>522.74586826347263</v>
      </c>
      <c r="L224" s="2">
        <v>-27.562055118442942</v>
      </c>
      <c r="M224" s="2">
        <v>-12.036184968465932</v>
      </c>
      <c r="N224" s="2">
        <v>1.6484999999999999</v>
      </c>
      <c r="O224" s="2">
        <v>23.024000000000001</v>
      </c>
      <c r="P224" s="2">
        <v>0.78720000000000001</v>
      </c>
      <c r="Q224" s="2">
        <v>3.3765100671140935</v>
      </c>
      <c r="R224" s="2">
        <v>1.6457999999999999</v>
      </c>
      <c r="S224" s="2">
        <v>18.2636</v>
      </c>
      <c r="T224" s="2">
        <v>52.380760626398214</v>
      </c>
      <c r="U224" s="2">
        <v>47.006</v>
      </c>
      <c r="V224" s="2">
        <v>29.601000000000003</v>
      </c>
      <c r="W224" s="2">
        <v>36.706470693512316</v>
      </c>
      <c r="X224" s="2">
        <v>19.050799999999999</v>
      </c>
      <c r="Y224" s="2">
        <v>87.62</v>
      </c>
      <c r="Z224" s="2">
        <v>31.7</v>
      </c>
      <c r="AA224" s="2">
        <v>22.42</v>
      </c>
      <c r="AB224" s="2">
        <v>29.97</v>
      </c>
      <c r="AC224" s="2">
        <v>3.28</v>
      </c>
      <c r="AD224" s="2">
        <v>9.5399999999999991</v>
      </c>
      <c r="AE224" s="2">
        <v>31.63</v>
      </c>
      <c r="AF224" s="2">
        <v>41.2</v>
      </c>
      <c r="AG224" s="2">
        <v>44.4</v>
      </c>
      <c r="AH224" s="2">
        <v>-3.2</v>
      </c>
      <c r="AI224" s="2">
        <v>41.75</v>
      </c>
      <c r="AJ224" s="2">
        <v>4.7</v>
      </c>
      <c r="AK224" s="2">
        <v>1.2529999999999999</v>
      </c>
      <c r="AL224" s="2">
        <v>0.61299999999999999</v>
      </c>
      <c r="AM224" s="2">
        <v>0.76100000000000001</v>
      </c>
      <c r="AN224" s="2">
        <v>0.48899999999999999</v>
      </c>
      <c r="AO224" s="2">
        <v>0.76800000000000002</v>
      </c>
      <c r="AP224" s="2">
        <v>0.30099999999999999</v>
      </c>
      <c r="AQ224" s="2">
        <v>1.109</v>
      </c>
      <c r="AR224" s="2">
        <v>1.597</v>
      </c>
      <c r="AS224" s="2">
        <v>24.57</v>
      </c>
      <c r="AT224" s="2">
        <v>141.19999999999999</v>
      </c>
      <c r="AU224" s="2">
        <v>1.2010000000000001</v>
      </c>
      <c r="AV224" s="2">
        <v>4.17</v>
      </c>
      <c r="AW224" s="2">
        <v>0.11899999999999999</v>
      </c>
      <c r="AX224" s="2">
        <v>0.13700000000000001</v>
      </c>
      <c r="AY224" s="2">
        <v>0.74399999999999999</v>
      </c>
      <c r="AZ224" s="2">
        <v>2.29</v>
      </c>
      <c r="BA224" s="2">
        <v>0.91</v>
      </c>
      <c r="BB224" s="2">
        <v>7.5</v>
      </c>
      <c r="BC224" s="2">
        <v>74</v>
      </c>
      <c r="BD224" s="2">
        <v>1.9</v>
      </c>
      <c r="BE224" s="2">
        <v>5.8</v>
      </c>
      <c r="BF224" s="2">
        <v>151</v>
      </c>
      <c r="BG224" s="2">
        <v>117</v>
      </c>
      <c r="BH224" s="2">
        <v>756</v>
      </c>
      <c r="BI224" s="2">
        <v>185</v>
      </c>
      <c r="BJ224" s="2">
        <v>36</v>
      </c>
      <c r="BK224" s="2">
        <v>23.8</v>
      </c>
      <c r="BL224" s="2">
        <v>6.5</v>
      </c>
      <c r="BM224" s="2">
        <v>2.8</v>
      </c>
      <c r="BN224" s="2">
        <v>0</v>
      </c>
      <c r="BO224" s="2">
        <v>0.3</v>
      </c>
      <c r="BP224" s="2">
        <v>3.78</v>
      </c>
      <c r="BQ224" s="2">
        <v>1.52</v>
      </c>
    </row>
    <row r="225" spans="1:69" x14ac:dyDescent="0.2">
      <c r="A225">
        <v>10</v>
      </c>
      <c r="B225">
        <v>294</v>
      </c>
      <c r="C225" t="s">
        <v>13</v>
      </c>
      <c r="D225" t="s">
        <v>7</v>
      </c>
      <c r="E225">
        <v>2</v>
      </c>
      <c r="F225" s="2">
        <v>181.93697749196096</v>
      </c>
      <c r="G225" s="2">
        <v>283.28971962616771</v>
      </c>
      <c r="H225" s="2">
        <v>388.24051446945288</v>
      </c>
      <c r="I225" s="2">
        <v>511.49532710280369</v>
      </c>
      <c r="J225" s="2">
        <v>570.17749196141381</v>
      </c>
      <c r="K225" s="2">
        <v>794.78504672897134</v>
      </c>
      <c r="L225" s="2">
        <v>101.35274213420675</v>
      </c>
      <c r="M225" s="2">
        <v>224.60755476755753</v>
      </c>
      <c r="N225" s="2">
        <v>1.5692999999999999</v>
      </c>
      <c r="O225" s="2">
        <v>21.03</v>
      </c>
      <c r="P225" s="2">
        <v>0.79641255605381145</v>
      </c>
      <c r="Q225" s="2">
        <v>2.2284714119019839</v>
      </c>
      <c r="R225" s="2">
        <v>3.6702407002188182</v>
      </c>
      <c r="S225" s="2">
        <v>52.243049327354257</v>
      </c>
      <c r="T225" s="2">
        <v>70.728121353558919</v>
      </c>
      <c r="U225" s="2">
        <v>68.616192560175051</v>
      </c>
      <c r="V225" s="2">
        <v>19.246971376985798</v>
      </c>
      <c r="W225" s="2">
        <v>19.917130882052831</v>
      </c>
      <c r="X225" s="2">
        <v>53.039461883408066</v>
      </c>
      <c r="Y225" s="2">
        <v>85.77</v>
      </c>
      <c r="Z225" s="2">
        <v>49.75</v>
      </c>
      <c r="AA225" s="2">
        <v>15.84</v>
      </c>
      <c r="AB225" s="2">
        <v>17.87</v>
      </c>
      <c r="AC225" s="2">
        <v>2.09</v>
      </c>
      <c r="AD225" s="2">
        <v>5.51</v>
      </c>
      <c r="AE225" s="2">
        <v>16.97</v>
      </c>
      <c r="AF225" s="2">
        <v>22.5</v>
      </c>
      <c r="AG225" s="2">
        <v>43.4</v>
      </c>
      <c r="AH225" s="2">
        <v>-20.9</v>
      </c>
      <c r="AI225" s="2">
        <v>54.93</v>
      </c>
      <c r="AJ225" s="2">
        <v>8.36</v>
      </c>
      <c r="AK225" s="2">
        <v>1.8149999999999999</v>
      </c>
      <c r="AL225" s="2">
        <v>0.40899999999999997</v>
      </c>
      <c r="AM225" s="2">
        <v>0.34300000000000003</v>
      </c>
      <c r="AN225" s="2">
        <v>0.22500000000000001</v>
      </c>
      <c r="AO225" s="2">
        <v>0.74199999999999999</v>
      </c>
      <c r="AP225" s="2">
        <v>0.111</v>
      </c>
      <c r="AQ225" s="2">
        <v>1.0860000000000001</v>
      </c>
      <c r="AR225" s="2">
        <v>1.325</v>
      </c>
      <c r="AS225" s="2">
        <v>18.350000000000001</v>
      </c>
      <c r="AT225" s="2">
        <v>115.5</v>
      </c>
      <c r="AU225" s="2">
        <v>1.2629999999999999</v>
      </c>
      <c r="AV225" s="2">
        <v>1.18</v>
      </c>
      <c r="AW225" s="2">
        <v>0.26</v>
      </c>
      <c r="AX225" s="2">
        <v>0.23</v>
      </c>
      <c r="AY225" s="2">
        <v>0.51</v>
      </c>
      <c r="AZ225" s="2">
        <v>1.02</v>
      </c>
      <c r="BA225" s="2">
        <v>0.92</v>
      </c>
      <c r="BB225" s="2">
        <v>8.1999999999999993</v>
      </c>
      <c r="BC225" s="2">
        <v>79</v>
      </c>
      <c r="BD225" s="2">
        <v>1.7</v>
      </c>
      <c r="BE225" s="2">
        <v>5.9</v>
      </c>
      <c r="BF225" s="2">
        <v>157</v>
      </c>
      <c r="BG225" s="2">
        <v>121</v>
      </c>
      <c r="BH225" s="2">
        <v>847</v>
      </c>
      <c r="BI225" s="2">
        <v>239</v>
      </c>
      <c r="BJ225" s="2">
        <v>20</v>
      </c>
      <c r="BK225" s="2">
        <v>19.7</v>
      </c>
      <c r="BL225" s="2">
        <v>6.5</v>
      </c>
      <c r="BM225" s="2">
        <v>2.7</v>
      </c>
      <c r="BN225" s="2">
        <v>0.1</v>
      </c>
      <c r="BO225" s="2">
        <v>0.31</v>
      </c>
      <c r="BP225" s="2">
        <v>4.24</v>
      </c>
      <c r="BQ225" s="2">
        <v>1.97</v>
      </c>
    </row>
    <row r="226" spans="1:69" x14ac:dyDescent="0.2">
      <c r="A226">
        <v>20</v>
      </c>
      <c r="B226">
        <v>5</v>
      </c>
      <c r="C226" t="s">
        <v>4</v>
      </c>
      <c r="D226" t="s">
        <v>0</v>
      </c>
      <c r="E226">
        <v>4</v>
      </c>
      <c r="F226" s="2">
        <v>499.92651356993719</v>
      </c>
      <c r="G226" s="2">
        <v>567.91448275862058</v>
      </c>
      <c r="H226" s="2">
        <v>741.97954070981223</v>
      </c>
      <c r="I226" s="2">
        <v>855.35586206896562</v>
      </c>
      <c r="J226" s="2">
        <v>1241.9060542797495</v>
      </c>
      <c r="K226" s="2">
        <v>1423.2703448275861</v>
      </c>
      <c r="L226" s="2">
        <v>67.987969188683394</v>
      </c>
      <c r="M226" s="2">
        <v>181.36429054783662</v>
      </c>
      <c r="N226" s="2">
        <v>2.27</v>
      </c>
      <c r="O226" s="2">
        <v>29.616</v>
      </c>
      <c r="P226" s="2">
        <v>0.78900000000000003</v>
      </c>
      <c r="Q226" s="2">
        <v>32.517800000000001</v>
      </c>
      <c r="R226" s="2">
        <v>25.921400000000006</v>
      </c>
      <c r="S226" s="2">
        <v>19.780799999999999</v>
      </c>
      <c r="T226" s="2">
        <v>77.0458</v>
      </c>
      <c r="U226" s="2">
        <v>47.823399999999992</v>
      </c>
      <c r="V226" s="2">
        <v>53.174999999999997</v>
      </c>
      <c r="W226" s="2">
        <v>88.993800000000007</v>
      </c>
      <c r="X226" s="2">
        <v>20.569800000000001</v>
      </c>
      <c r="Y226" s="2">
        <v>83.94</v>
      </c>
      <c r="Z226" s="2">
        <v>51.36</v>
      </c>
      <c r="AA226" s="2">
        <v>13.58</v>
      </c>
      <c r="AB226" s="2">
        <v>15.87</v>
      </c>
      <c r="AC226" s="2">
        <v>2.84</v>
      </c>
      <c r="AD226" s="2">
        <v>38.85</v>
      </c>
      <c r="AE226" s="2">
        <v>14.06</v>
      </c>
      <c r="AF226" s="2">
        <v>52.9</v>
      </c>
      <c r="AG226" s="2">
        <v>42.5</v>
      </c>
      <c r="AH226" s="2">
        <v>10.4</v>
      </c>
      <c r="AI226" s="2">
        <v>26.08</v>
      </c>
      <c r="AJ226" s="2">
        <v>4.95</v>
      </c>
      <c r="AK226" s="2">
        <v>1.89</v>
      </c>
      <c r="AL226" s="2">
        <v>1.484</v>
      </c>
      <c r="AM226" s="2">
        <v>0.81499999999999995</v>
      </c>
      <c r="AN226" s="2">
        <v>0.78500000000000003</v>
      </c>
      <c r="AO226" s="2">
        <v>2.8050000000000002</v>
      </c>
      <c r="AP226" s="2">
        <v>0.75600000000000001</v>
      </c>
      <c r="AQ226" s="2">
        <v>1.0629999999999999</v>
      </c>
      <c r="AR226" s="2">
        <v>2.125</v>
      </c>
      <c r="AS226" s="2">
        <v>28.17</v>
      </c>
      <c r="AT226" s="2">
        <v>517.6</v>
      </c>
      <c r="AU226" s="2">
        <v>1.1990000000000001</v>
      </c>
      <c r="AV226" s="2">
        <v>3.49</v>
      </c>
      <c r="AW226" s="2">
        <v>0.248</v>
      </c>
      <c r="AX226" s="2">
        <v>0.23599999999999999</v>
      </c>
      <c r="AY226" s="2">
        <v>0.51600000000000001</v>
      </c>
      <c r="AZ226" s="2">
        <v>0.27</v>
      </c>
      <c r="BA226" s="2">
        <v>0.89</v>
      </c>
      <c r="BB226" s="2">
        <v>9</v>
      </c>
      <c r="BC226" s="2">
        <v>94</v>
      </c>
      <c r="BD226" s="2">
        <v>0.5</v>
      </c>
      <c r="BE226" s="2">
        <v>6.8</v>
      </c>
      <c r="BF226" s="2">
        <v>19</v>
      </c>
      <c r="BG226" s="2">
        <v>47</v>
      </c>
      <c r="BH226" s="2">
        <v>1258</v>
      </c>
      <c r="BI226" s="2">
        <v>249</v>
      </c>
      <c r="BJ226" s="2">
        <v>14</v>
      </c>
      <c r="BK226" s="2">
        <v>56.2</v>
      </c>
      <c r="BL226" s="2">
        <v>4.3</v>
      </c>
      <c r="BM226" s="2">
        <v>1.6</v>
      </c>
      <c r="BN226" s="2">
        <v>0.1</v>
      </c>
      <c r="BO226" s="2">
        <v>0.12</v>
      </c>
      <c r="BP226" s="2">
        <v>6.29</v>
      </c>
      <c r="BQ226" s="2">
        <v>2.0499999999999998</v>
      </c>
    </row>
    <row r="227" spans="1:69" x14ac:dyDescent="0.2">
      <c r="A227">
        <v>20</v>
      </c>
      <c r="B227">
        <v>15</v>
      </c>
      <c r="C227" t="s">
        <v>4</v>
      </c>
      <c r="D227" t="s">
        <v>5</v>
      </c>
      <c r="E227">
        <v>3</v>
      </c>
      <c r="F227" s="2">
        <v>658.38967741935471</v>
      </c>
      <c r="G227" s="2">
        <v>755.91398705823792</v>
      </c>
      <c r="H227" s="2">
        <v>1126.1070967741935</v>
      </c>
      <c r="I227" s="2">
        <v>1122.5549029367844</v>
      </c>
      <c r="J227" s="2">
        <v>1784.4967741935482</v>
      </c>
      <c r="K227" s="2">
        <v>1878.4688899950224</v>
      </c>
      <c r="L227" s="2">
        <v>97.52430963888321</v>
      </c>
      <c r="M227" s="2">
        <v>93.972115801474274</v>
      </c>
      <c r="N227" s="2">
        <v>3.6187999999999998</v>
      </c>
      <c r="O227" s="2">
        <v>55.557000000000002</v>
      </c>
      <c r="P227" s="2">
        <v>0.92528883183568678</v>
      </c>
      <c r="Q227" s="2">
        <v>6.4501999999999997</v>
      </c>
      <c r="R227" s="2">
        <v>6.8245999999999993</v>
      </c>
      <c r="S227" s="2">
        <v>46.201283697047501</v>
      </c>
      <c r="T227" s="2">
        <v>189.92740000000001</v>
      </c>
      <c r="U227" s="2">
        <v>179.81979999999999</v>
      </c>
      <c r="V227" s="2">
        <v>139.51782747111679</v>
      </c>
      <c r="W227" s="2">
        <v>149.2510274711168</v>
      </c>
      <c r="X227" s="2">
        <v>47.126572528883187</v>
      </c>
      <c r="Y227" s="2">
        <v>81.400000000000006</v>
      </c>
      <c r="Z227" s="2">
        <v>31.13</v>
      </c>
      <c r="AA227" s="2">
        <v>19.670000000000002</v>
      </c>
      <c r="AB227" s="2">
        <v>26.81</v>
      </c>
      <c r="AC227" s="2">
        <v>3.36</v>
      </c>
      <c r="AD227" s="2">
        <v>25.25</v>
      </c>
      <c r="AE227" s="2">
        <v>22.29</v>
      </c>
      <c r="AF227" s="2">
        <v>47.5</v>
      </c>
      <c r="AG227" s="2">
        <v>41.2</v>
      </c>
      <c r="AH227" s="2">
        <v>6.3</v>
      </c>
      <c r="AI227" s="2">
        <v>29.75</v>
      </c>
      <c r="AJ227" s="2">
        <v>4.1100000000000003</v>
      </c>
      <c r="AK227" s="2">
        <v>1.302</v>
      </c>
      <c r="AL227" s="2">
        <v>1.1200000000000001</v>
      </c>
      <c r="AM227" s="2">
        <v>0.93600000000000005</v>
      </c>
      <c r="AN227" s="2">
        <v>0.86</v>
      </c>
      <c r="AO227" s="2">
        <v>1.458</v>
      </c>
      <c r="AP227" s="2">
        <v>0.81100000000000005</v>
      </c>
      <c r="AQ227" s="2">
        <v>1.03</v>
      </c>
      <c r="AR227" s="2">
        <v>2.5510000000000002</v>
      </c>
      <c r="AS227" s="2">
        <v>41.13</v>
      </c>
      <c r="AT227" s="2">
        <v>454</v>
      </c>
      <c r="AU227" s="2">
        <v>0.997</v>
      </c>
      <c r="AV227" s="2">
        <v>10.32</v>
      </c>
      <c r="AW227" s="2">
        <v>0.11700000000000001</v>
      </c>
      <c r="AX227" s="2">
        <v>0.193</v>
      </c>
      <c r="AY227" s="2">
        <v>0.69</v>
      </c>
      <c r="AZ227" s="2">
        <v>0.41</v>
      </c>
      <c r="BA227" s="2">
        <v>0.88</v>
      </c>
      <c r="BB227" s="2">
        <v>7.9</v>
      </c>
      <c r="BC227" s="2">
        <v>75</v>
      </c>
      <c r="BD227" s="2">
        <v>2</v>
      </c>
      <c r="BE227" s="2">
        <v>5.4</v>
      </c>
      <c r="BF227" s="2">
        <v>43</v>
      </c>
      <c r="BG227" s="2">
        <v>174</v>
      </c>
      <c r="BH227" s="2">
        <v>836</v>
      </c>
      <c r="BI227" s="2">
        <v>157</v>
      </c>
      <c r="BJ227" s="2">
        <v>15</v>
      </c>
      <c r="BK227" s="2">
        <v>101</v>
      </c>
      <c r="BL227" s="2">
        <v>5.0999999999999996</v>
      </c>
      <c r="BM227" s="2">
        <v>0.8</v>
      </c>
      <c r="BN227" s="2">
        <v>0</v>
      </c>
      <c r="BO227" s="2">
        <v>0.45</v>
      </c>
      <c r="BP227" s="2">
        <v>4.18</v>
      </c>
      <c r="BQ227" s="2">
        <v>1.29</v>
      </c>
    </row>
    <row r="228" spans="1:69" x14ac:dyDescent="0.2">
      <c r="A228">
        <v>20</v>
      </c>
      <c r="B228">
        <v>32</v>
      </c>
      <c r="C228" t="s">
        <v>4</v>
      </c>
      <c r="D228" t="s">
        <v>0</v>
      </c>
      <c r="E228">
        <v>3</v>
      </c>
      <c r="F228" s="2">
        <v>438.34322305229449</v>
      </c>
      <c r="G228" s="2">
        <v>357.65967450271239</v>
      </c>
      <c r="H228" s="2">
        <v>721.40618996798298</v>
      </c>
      <c r="I228" s="2">
        <v>715.31934900542501</v>
      </c>
      <c r="J228" s="2">
        <v>1159.7494130202774</v>
      </c>
      <c r="K228" s="2">
        <v>1072.9790235081373</v>
      </c>
      <c r="L228" s="2">
        <v>-80.683548549582099</v>
      </c>
      <c r="M228" s="2">
        <v>-86.770389512140127</v>
      </c>
      <c r="N228" s="2">
        <v>2.6540000000000004</v>
      </c>
      <c r="O228" s="2">
        <v>26.158999999999999</v>
      </c>
      <c r="P228" s="2">
        <v>0.57720000000000005</v>
      </c>
      <c r="Q228" s="2">
        <v>17.658200000000001</v>
      </c>
      <c r="R228" s="2">
        <v>18.9602</v>
      </c>
      <c r="S228" s="2">
        <v>30.604399999999998</v>
      </c>
      <c r="T228" s="2">
        <v>128.12020000000001</v>
      </c>
      <c r="U228" s="2">
        <v>123.29739999999998</v>
      </c>
      <c r="V228" s="2">
        <v>111.07599999999996</v>
      </c>
      <c r="W228" s="2">
        <v>114.5968</v>
      </c>
      <c r="X228" s="2">
        <v>31.1816</v>
      </c>
      <c r="Y228" s="2">
        <v>88.79</v>
      </c>
      <c r="Z228" s="2">
        <v>36.81</v>
      </c>
      <c r="AA228" s="2">
        <v>18.43</v>
      </c>
      <c r="AB228" s="2">
        <v>27.8</v>
      </c>
      <c r="AC228" s="2">
        <v>5.3</v>
      </c>
      <c r="AD228" s="2">
        <v>29.99</v>
      </c>
      <c r="AE228" s="2">
        <v>22.47</v>
      </c>
      <c r="AF228" s="2">
        <v>52.5</v>
      </c>
      <c r="AG228" s="2">
        <v>45</v>
      </c>
      <c r="AH228" s="2">
        <v>7.5</v>
      </c>
      <c r="AI228" s="2">
        <v>31.88</v>
      </c>
      <c r="AJ228" s="2">
        <v>4.45</v>
      </c>
      <c r="AK228" s="2">
        <v>1.371</v>
      </c>
      <c r="AL228" s="2">
        <v>1.1850000000000001</v>
      </c>
      <c r="AM228" s="2">
        <v>0.95</v>
      </c>
      <c r="AN228" s="2">
        <v>0.86499999999999999</v>
      </c>
      <c r="AO228" s="2">
        <v>1.625</v>
      </c>
      <c r="AP228" s="2">
        <v>0.81499999999999995</v>
      </c>
      <c r="AQ228" s="2">
        <v>1.1240000000000001</v>
      </c>
      <c r="AR228" s="2">
        <v>2.2959999999999998</v>
      </c>
      <c r="AS228" s="2">
        <v>24.01</v>
      </c>
      <c r="AT228" s="2">
        <v>328.9</v>
      </c>
      <c r="AU228" s="2">
        <v>1.272</v>
      </c>
      <c r="AV228" s="2">
        <v>0.69</v>
      </c>
      <c r="AW228" s="2">
        <v>0.11700000000000001</v>
      </c>
      <c r="AX228" s="2">
        <v>0.192</v>
      </c>
      <c r="AY228" s="2">
        <v>0.69099999999999995</v>
      </c>
      <c r="AZ228" s="2">
        <v>0.32</v>
      </c>
      <c r="BA228" s="2">
        <v>1.01</v>
      </c>
      <c r="BB228" s="2">
        <v>8.3000000000000007</v>
      </c>
      <c r="BC228" s="2">
        <v>84</v>
      </c>
      <c r="BD228" s="2">
        <v>1.4</v>
      </c>
      <c r="BE228" s="2">
        <v>5.9</v>
      </c>
      <c r="BF228" s="2">
        <v>88</v>
      </c>
      <c r="BG228" s="2">
        <v>129</v>
      </c>
      <c r="BH228" s="2">
        <v>1073</v>
      </c>
      <c r="BI228" s="2">
        <v>150</v>
      </c>
      <c r="BJ228" s="2">
        <v>14</v>
      </c>
      <c r="BK228" s="2">
        <v>51.2</v>
      </c>
      <c r="BL228" s="2">
        <v>11.8</v>
      </c>
      <c r="BM228" s="2">
        <v>1.4</v>
      </c>
      <c r="BN228" s="2">
        <v>0</v>
      </c>
      <c r="BO228" s="2">
        <v>0.33</v>
      </c>
      <c r="BP228" s="2">
        <v>5.37</v>
      </c>
      <c r="BQ228" s="2">
        <v>1.23</v>
      </c>
    </row>
    <row r="229" spans="1:69" x14ac:dyDescent="0.2">
      <c r="A229">
        <v>20</v>
      </c>
      <c r="B229">
        <v>91</v>
      </c>
      <c r="C229" t="s">
        <v>4</v>
      </c>
      <c r="D229" t="s">
        <v>5</v>
      </c>
      <c r="E229">
        <v>2</v>
      </c>
      <c r="F229" s="2">
        <v>379.33501722158434</v>
      </c>
      <c r="G229" s="2">
        <v>341.82386634844858</v>
      </c>
      <c r="H229" s="2">
        <v>777.81079219288176</v>
      </c>
      <c r="I229" s="2">
        <v>857.272553699284</v>
      </c>
      <c r="J229" s="2">
        <v>1157.1458094144662</v>
      </c>
      <c r="K229" s="2">
        <v>1199.0964200477326</v>
      </c>
      <c r="L229" s="2">
        <v>-37.511150873135762</v>
      </c>
      <c r="M229" s="2">
        <v>41.950610633266479</v>
      </c>
      <c r="N229" s="2">
        <v>1.9823</v>
      </c>
      <c r="O229" s="2">
        <v>30.913</v>
      </c>
      <c r="P229" s="2">
        <v>1.2021999999999999</v>
      </c>
      <c r="Q229" s="2">
        <v>5.2766000000000002</v>
      </c>
      <c r="R229" s="2">
        <v>4.8014000000000001</v>
      </c>
      <c r="S229" s="2">
        <v>41.157199999999996</v>
      </c>
      <c r="T229" s="2">
        <v>181.20339999999999</v>
      </c>
      <c r="U229" s="2">
        <v>163.10979999999998</v>
      </c>
      <c r="V229" s="2">
        <v>125.55179999999999</v>
      </c>
      <c r="W229" s="2">
        <v>144.1206</v>
      </c>
      <c r="X229" s="2">
        <v>42.359399999999994</v>
      </c>
      <c r="Y229" s="2">
        <v>78.209999999999994</v>
      </c>
      <c r="Z229" s="2">
        <v>47.5</v>
      </c>
      <c r="AA229" s="2">
        <v>13.37</v>
      </c>
      <c r="AB229" s="2">
        <v>13.88</v>
      </c>
      <c r="AC229" s="2">
        <v>3.04</v>
      </c>
      <c r="AD229" s="2">
        <v>31.81</v>
      </c>
      <c r="AE229" s="2">
        <v>15.58</v>
      </c>
      <c r="AF229" s="2">
        <v>47.4</v>
      </c>
      <c r="AG229" s="2">
        <v>39.6</v>
      </c>
      <c r="AH229" s="2">
        <v>7.8</v>
      </c>
      <c r="AI229" s="2">
        <v>25.87</v>
      </c>
      <c r="AJ229" s="2">
        <v>4.95</v>
      </c>
      <c r="AK229" s="2">
        <v>1.881</v>
      </c>
      <c r="AL229" s="2">
        <v>1.3460000000000001</v>
      </c>
      <c r="AM229" s="2">
        <v>0.77900000000000003</v>
      </c>
      <c r="AN229" s="2">
        <v>0.71599999999999997</v>
      </c>
      <c r="AO229" s="2">
        <v>2.532</v>
      </c>
      <c r="AP229" s="2">
        <v>0.67</v>
      </c>
      <c r="AQ229" s="2">
        <v>0.99</v>
      </c>
      <c r="AR229" s="2">
        <v>1.5449999999999999</v>
      </c>
      <c r="AS229" s="2">
        <v>25.01</v>
      </c>
      <c r="AT229" s="2">
        <v>414</v>
      </c>
      <c r="AU229" s="2">
        <v>1.1120000000000001</v>
      </c>
      <c r="AV229" s="2">
        <v>6.5</v>
      </c>
      <c r="AW229" s="2">
        <v>0.21299999999999999</v>
      </c>
      <c r="AX229" s="2">
        <v>0.24099999999999999</v>
      </c>
      <c r="AY229" s="2">
        <v>0.54600000000000004</v>
      </c>
      <c r="AZ229" s="2">
        <v>0.27</v>
      </c>
      <c r="BA229" s="2">
        <v>0.79</v>
      </c>
      <c r="BB229" s="2">
        <v>6</v>
      </c>
      <c r="BC229" s="2">
        <v>69</v>
      </c>
      <c r="BD229" s="2">
        <v>1.9</v>
      </c>
      <c r="BE229" s="2">
        <v>5.0999999999999996</v>
      </c>
      <c r="BF229" s="2">
        <v>6</v>
      </c>
      <c r="BG229" s="2">
        <v>155</v>
      </c>
      <c r="BH229" s="2">
        <v>404</v>
      </c>
      <c r="BI229" s="2">
        <v>207</v>
      </c>
      <c r="BJ229" s="2">
        <v>13</v>
      </c>
      <c r="BK229" s="2">
        <v>49.9</v>
      </c>
      <c r="BL229" s="2">
        <v>1.9</v>
      </c>
      <c r="BM229" s="2">
        <v>0.9</v>
      </c>
      <c r="BN229" s="2">
        <v>0</v>
      </c>
      <c r="BO229" s="2">
        <v>0.4</v>
      </c>
      <c r="BP229" s="2">
        <v>2.02</v>
      </c>
      <c r="BQ229" s="2">
        <v>1.7</v>
      </c>
    </row>
    <row r="230" spans="1:69" x14ac:dyDescent="0.2">
      <c r="A230">
        <v>10</v>
      </c>
      <c r="B230">
        <v>94</v>
      </c>
      <c r="C230" t="s">
        <v>4</v>
      </c>
      <c r="D230" t="s">
        <v>3</v>
      </c>
      <c r="E230">
        <v>3</v>
      </c>
      <c r="F230" s="2">
        <v>235.34161490683229</v>
      </c>
      <c r="G230" s="2">
        <v>287.71697027804413</v>
      </c>
      <c r="H230" s="2">
        <v>513.04472049689434</v>
      </c>
      <c r="I230" s="2">
        <v>600.13691275167821</v>
      </c>
      <c r="J230" s="2">
        <v>748.38633540372666</v>
      </c>
      <c r="K230" s="2">
        <v>887.85388302972228</v>
      </c>
      <c r="L230" s="2">
        <v>52.375355371211839</v>
      </c>
      <c r="M230" s="2">
        <v>139.46754762599562</v>
      </c>
      <c r="N230" s="2">
        <v>1.7957999999999998</v>
      </c>
      <c r="O230" s="2">
        <v>18.736000000000001</v>
      </c>
      <c r="P230" s="2">
        <v>0.63100000000000001</v>
      </c>
      <c r="Q230" s="2">
        <v>9.846229508196723</v>
      </c>
      <c r="R230" s="2">
        <v>31.288753056234722</v>
      </c>
      <c r="S230" s="2">
        <v>27.9236</v>
      </c>
      <c r="T230" s="2">
        <v>90.121639344262292</v>
      </c>
      <c r="U230" s="2">
        <v>77.687041564792182</v>
      </c>
      <c r="V230" s="2">
        <v>80.421194621026899</v>
      </c>
      <c r="W230" s="2">
        <v>71.413268852459026</v>
      </c>
      <c r="X230" s="2">
        <v>28.554600000000001</v>
      </c>
      <c r="Y230" s="2">
        <v>88.94</v>
      </c>
      <c r="Z230" s="2">
        <v>50.35</v>
      </c>
      <c r="AA230" s="2">
        <v>14.54</v>
      </c>
      <c r="AB230" s="2">
        <v>21.68</v>
      </c>
      <c r="AC230" s="2">
        <v>2.09</v>
      </c>
      <c r="AD230" s="2">
        <v>29.43</v>
      </c>
      <c r="AE230" s="2">
        <v>19.079999999999998</v>
      </c>
      <c r="AF230" s="2">
        <v>48.5</v>
      </c>
      <c r="AG230" s="2">
        <v>45</v>
      </c>
      <c r="AH230" s="2">
        <v>3.5</v>
      </c>
      <c r="AI230" s="2">
        <v>36.29</v>
      </c>
      <c r="AJ230" s="2">
        <v>4.1399999999999997</v>
      </c>
      <c r="AK230" s="2">
        <v>1.768</v>
      </c>
      <c r="AL230" s="2">
        <v>1.149</v>
      </c>
      <c r="AM230" s="2">
        <v>0.748</v>
      </c>
      <c r="AN230" s="2">
        <v>0.65</v>
      </c>
      <c r="AO230" s="2">
        <v>2.0310000000000001</v>
      </c>
      <c r="AP230" s="2">
        <v>0.58499999999999996</v>
      </c>
      <c r="AQ230" s="2">
        <v>1.1259999999999999</v>
      </c>
      <c r="AR230" s="2">
        <v>1.4350000000000001</v>
      </c>
      <c r="AS230" s="2">
        <v>15.96</v>
      </c>
      <c r="AT230" s="2">
        <v>184.1</v>
      </c>
      <c r="AU230" s="2">
        <v>1.4219999999999999</v>
      </c>
      <c r="AV230" s="2">
        <v>0.09</v>
      </c>
      <c r="AW230" s="2">
        <v>0.189</v>
      </c>
      <c r="AX230" s="2">
        <v>9.8000000000000004E-2</v>
      </c>
      <c r="AY230" s="2">
        <v>0.71299999999999997</v>
      </c>
      <c r="AZ230" s="2">
        <v>0.32</v>
      </c>
      <c r="BA230" s="2">
        <v>1.02</v>
      </c>
      <c r="BB230" s="2">
        <v>4.9000000000000004</v>
      </c>
      <c r="BC230" s="2">
        <v>62</v>
      </c>
      <c r="BD230" s="2">
        <v>1.8</v>
      </c>
      <c r="BE230" s="2">
        <v>5</v>
      </c>
      <c r="BF230" s="2">
        <v>105</v>
      </c>
      <c r="BG230" s="2">
        <v>70</v>
      </c>
      <c r="BH230" s="2">
        <v>488</v>
      </c>
      <c r="BI230" s="2">
        <v>51</v>
      </c>
      <c r="BJ230" s="2">
        <v>17</v>
      </c>
      <c r="BK230" s="2">
        <v>43</v>
      </c>
      <c r="BL230" s="2">
        <v>3.5</v>
      </c>
      <c r="BM230" s="2">
        <v>0.9</v>
      </c>
      <c r="BN230" s="2">
        <v>0</v>
      </c>
      <c r="BO230" s="2">
        <v>0.18</v>
      </c>
      <c r="BP230" s="2">
        <v>2.44</v>
      </c>
      <c r="BQ230" s="2">
        <v>0.42</v>
      </c>
    </row>
    <row r="231" spans="1:69" x14ac:dyDescent="0.2">
      <c r="A231">
        <v>20</v>
      </c>
      <c r="B231">
        <v>149</v>
      </c>
      <c r="C231" t="s">
        <v>4</v>
      </c>
      <c r="D231" t="s">
        <v>0</v>
      </c>
      <c r="E231">
        <v>2</v>
      </c>
      <c r="F231" s="2">
        <v>377.32124999999991</v>
      </c>
      <c r="G231" s="2">
        <v>354.22068965517235</v>
      </c>
      <c r="H231" s="2">
        <v>606.24</v>
      </c>
      <c r="I231" s="2">
        <v>628.59655172413795</v>
      </c>
      <c r="J231" s="2">
        <v>983.56124999999997</v>
      </c>
      <c r="K231" s="2">
        <v>982.8172413793103</v>
      </c>
      <c r="L231" s="2">
        <v>-23.100560344827556</v>
      </c>
      <c r="M231" s="2">
        <v>-0.74400862068966944</v>
      </c>
      <c r="N231" s="2">
        <v>2.1223000000000001</v>
      </c>
      <c r="O231" s="2">
        <v>21.581000000000003</v>
      </c>
      <c r="P231" s="2">
        <v>0.74619999999999997</v>
      </c>
      <c r="Q231" s="2">
        <v>23.844200000000001</v>
      </c>
      <c r="R231" s="2">
        <v>41.324600000000004</v>
      </c>
      <c r="S231" s="2">
        <v>27.238</v>
      </c>
      <c r="T231" s="2">
        <v>105.41740000000001</v>
      </c>
      <c r="U231" s="2">
        <v>83.817399999999992</v>
      </c>
      <c r="V231" s="2">
        <v>97.157799999999995</v>
      </c>
      <c r="W231" s="2">
        <v>101.27740000000001</v>
      </c>
      <c r="X231" s="2">
        <v>27.984200000000001</v>
      </c>
      <c r="Y231" s="2">
        <v>88.68</v>
      </c>
      <c r="Z231" s="2">
        <v>43.69</v>
      </c>
      <c r="AA231" s="2">
        <v>20.73</v>
      </c>
      <c r="AB231" s="2">
        <v>21.73</v>
      </c>
      <c r="AC231" s="2">
        <v>2.2400000000000002</v>
      </c>
      <c r="AD231" s="2">
        <v>27.39</v>
      </c>
      <c r="AE231" s="2">
        <v>30.86</v>
      </c>
      <c r="AF231" s="2">
        <v>58.3</v>
      </c>
      <c r="AG231" s="2">
        <v>44.9</v>
      </c>
      <c r="AH231" s="2">
        <v>13.3</v>
      </c>
      <c r="AI231" s="2">
        <v>25.95</v>
      </c>
      <c r="AJ231" s="2">
        <v>4.4800000000000004</v>
      </c>
      <c r="AK231" s="2">
        <v>1.601</v>
      </c>
      <c r="AL231" s="2">
        <v>1.151</v>
      </c>
      <c r="AM231" s="2">
        <v>0.90400000000000003</v>
      </c>
      <c r="AN231" s="2">
        <v>0.71899999999999997</v>
      </c>
      <c r="AO231" s="2">
        <v>1.843</v>
      </c>
      <c r="AP231" s="2">
        <v>0.627</v>
      </c>
      <c r="AQ231" s="2">
        <v>1.123</v>
      </c>
      <c r="AR231" s="2">
        <v>1.8720000000000001</v>
      </c>
      <c r="AS231" s="2">
        <v>19.77</v>
      </c>
      <c r="AT231" s="2">
        <v>324.60000000000002</v>
      </c>
      <c r="AU231" s="2">
        <v>1.3360000000000001</v>
      </c>
      <c r="AV231" s="2">
        <v>0.17</v>
      </c>
      <c r="AW231" s="2">
        <v>0.13100000000000001</v>
      </c>
      <c r="AX231" s="2">
        <v>0.218</v>
      </c>
      <c r="AY231" s="2">
        <v>0.65100000000000002</v>
      </c>
      <c r="AZ231" s="2">
        <v>0.32</v>
      </c>
      <c r="BA231" s="2">
        <v>0.97</v>
      </c>
      <c r="BB231" s="2">
        <v>8.1999999999999993</v>
      </c>
      <c r="BC231" s="2">
        <v>89</v>
      </c>
      <c r="BD231" s="2">
        <v>0.9</v>
      </c>
      <c r="BE231" s="2">
        <v>6.2</v>
      </c>
      <c r="BF231" s="2">
        <v>109</v>
      </c>
      <c r="BG231" s="2">
        <v>141</v>
      </c>
      <c r="BH231" s="2">
        <v>1175</v>
      </c>
      <c r="BI231" s="2">
        <v>131</v>
      </c>
      <c r="BJ231" s="2">
        <v>13</v>
      </c>
      <c r="BK231" s="2">
        <v>72.599999999999994</v>
      </c>
      <c r="BL231" s="2">
        <v>5.2</v>
      </c>
      <c r="BM231" s="2">
        <v>1.5</v>
      </c>
      <c r="BN231" s="2">
        <v>0</v>
      </c>
      <c r="BO231" s="2">
        <v>0.36</v>
      </c>
      <c r="BP231" s="2">
        <v>5.88</v>
      </c>
      <c r="BQ231" s="2">
        <v>1.08</v>
      </c>
    </row>
    <row r="232" spans="1:69" x14ac:dyDescent="0.2">
      <c r="A232">
        <v>20</v>
      </c>
      <c r="B232">
        <v>171</v>
      </c>
      <c r="C232" t="s">
        <v>4</v>
      </c>
      <c r="D232" t="s">
        <v>3</v>
      </c>
      <c r="E232">
        <v>1</v>
      </c>
      <c r="F232" s="2">
        <v>194.18409813721036</v>
      </c>
      <c r="G232" s="2">
        <v>283.62105263157878</v>
      </c>
      <c r="H232" s="2">
        <v>406.27169468423443</v>
      </c>
      <c r="I232" s="2">
        <v>576.1052631578948</v>
      </c>
      <c r="J232" s="2">
        <v>600.45579282144479</v>
      </c>
      <c r="K232" s="2">
        <v>859.72631578947357</v>
      </c>
      <c r="L232" s="2">
        <v>89.436954494368422</v>
      </c>
      <c r="M232" s="2">
        <v>259.27052296802879</v>
      </c>
      <c r="N232" s="2">
        <v>1.6830000000000001</v>
      </c>
      <c r="O232" s="2">
        <v>17.329000000000001</v>
      </c>
      <c r="P232" s="2">
        <v>0.82483940042826553</v>
      </c>
      <c r="Q232" s="2">
        <v>5.3618000000000006</v>
      </c>
      <c r="R232" s="2">
        <v>8.4685999999999986</v>
      </c>
      <c r="S232" s="2">
        <v>33.700000000000003</v>
      </c>
      <c r="T232" s="2">
        <v>72.092199999999991</v>
      </c>
      <c r="U232" s="2">
        <v>86.826999999999998</v>
      </c>
      <c r="V232" s="2">
        <v>60.770760599571723</v>
      </c>
      <c r="W232" s="2">
        <v>42.929160599571723</v>
      </c>
      <c r="X232" s="2">
        <v>34.52483940042827</v>
      </c>
      <c r="Y232" s="2">
        <v>91.71</v>
      </c>
      <c r="Z232" s="2">
        <v>42.11</v>
      </c>
      <c r="AA232" s="2">
        <v>22.34</v>
      </c>
      <c r="AB232" s="2">
        <v>23.33</v>
      </c>
      <c r="AC232" s="2">
        <v>3.61</v>
      </c>
      <c r="AD232" s="2">
        <v>21.62</v>
      </c>
      <c r="AE232" s="2">
        <v>31.57</v>
      </c>
      <c r="AF232" s="2">
        <v>53.2</v>
      </c>
      <c r="AG232" s="2">
        <v>46.4</v>
      </c>
      <c r="AH232" s="2">
        <v>6.8</v>
      </c>
      <c r="AI232" s="2">
        <v>33.729999999999997</v>
      </c>
      <c r="AJ232" s="2">
        <v>4.79</v>
      </c>
      <c r="AK232" s="2">
        <v>1.512</v>
      </c>
      <c r="AL232" s="2">
        <v>0.95</v>
      </c>
      <c r="AM232" s="2">
        <v>0.82499999999999996</v>
      </c>
      <c r="AN232" s="2">
        <v>0.628</v>
      </c>
      <c r="AO232" s="2">
        <v>1.4370000000000001</v>
      </c>
      <c r="AP232" s="2">
        <v>0.51300000000000001</v>
      </c>
      <c r="AQ232" s="2">
        <v>1.161</v>
      </c>
      <c r="AR232" s="2">
        <v>1.373</v>
      </c>
      <c r="AS232" s="2">
        <v>15.39</v>
      </c>
      <c r="AT232" s="2">
        <v>195.6</v>
      </c>
      <c r="AU232" s="2">
        <v>1.385</v>
      </c>
      <c r="AV232" s="2">
        <v>2.44</v>
      </c>
      <c r="AW232" s="2">
        <v>0.122</v>
      </c>
      <c r="AX232" s="2">
        <v>0.17100000000000001</v>
      </c>
      <c r="AY232" s="2">
        <v>0.70599999999999996</v>
      </c>
      <c r="AZ232" s="2">
        <v>0.32</v>
      </c>
      <c r="BA232" s="2">
        <v>0.94</v>
      </c>
      <c r="BB232" s="2">
        <v>5.8</v>
      </c>
      <c r="BC232" s="2">
        <v>71</v>
      </c>
      <c r="BD232" s="2">
        <v>1.7</v>
      </c>
      <c r="BE232" s="2">
        <v>5.0999999999999996</v>
      </c>
      <c r="BF232" s="2">
        <v>151</v>
      </c>
      <c r="BG232" s="2">
        <v>106</v>
      </c>
      <c r="BH232" s="2">
        <v>643</v>
      </c>
      <c r="BI232" s="2">
        <v>79</v>
      </c>
      <c r="BJ232" s="2">
        <v>15</v>
      </c>
      <c r="BK232" s="2">
        <v>52.1</v>
      </c>
      <c r="BL232" s="2">
        <v>5.0999999999999996</v>
      </c>
      <c r="BM232" s="2">
        <v>1</v>
      </c>
      <c r="BN232" s="2">
        <v>0</v>
      </c>
      <c r="BO232" s="2">
        <v>0.27</v>
      </c>
      <c r="BP232" s="2">
        <v>3.22</v>
      </c>
      <c r="BQ232" s="2">
        <v>0.65</v>
      </c>
    </row>
    <row r="233" spans="1:69" x14ac:dyDescent="0.2">
      <c r="A233">
        <v>20</v>
      </c>
      <c r="B233">
        <v>189</v>
      </c>
      <c r="C233" t="s">
        <v>4</v>
      </c>
      <c r="D233" t="s">
        <v>5</v>
      </c>
      <c r="E233">
        <v>1</v>
      </c>
      <c r="F233" s="2">
        <v>75.229539951573869</v>
      </c>
      <c r="G233" s="2">
        <v>348.50695187165769</v>
      </c>
      <c r="H233" s="2">
        <v>387.15690072639234</v>
      </c>
      <c r="I233" s="2">
        <v>1077.9401069518719</v>
      </c>
      <c r="J233" s="2">
        <v>462.38644067796622</v>
      </c>
      <c r="K233" s="2">
        <v>1426.4470588235297</v>
      </c>
      <c r="L233" s="2">
        <v>273.27741192008381</v>
      </c>
      <c r="M233" s="2">
        <v>964.06061814556347</v>
      </c>
      <c r="N233" s="2">
        <v>2.7522000000000002</v>
      </c>
      <c r="O233" s="2">
        <v>53.598999999999997</v>
      </c>
      <c r="P233" s="2">
        <v>1.3985542168674698</v>
      </c>
      <c r="Q233" s="2">
        <v>4.5890000000000004</v>
      </c>
      <c r="R233" s="2">
        <v>3.9722</v>
      </c>
      <c r="S233" s="2">
        <v>49.464096385542163</v>
      </c>
      <c r="T233" s="2">
        <v>123.175</v>
      </c>
      <c r="U233" s="2">
        <v>119.7406</v>
      </c>
      <c r="V233" s="2">
        <v>72.850149397590371</v>
      </c>
      <c r="W233" s="2">
        <v>76.901349397590366</v>
      </c>
      <c r="X233" s="2">
        <v>50.86265060240963</v>
      </c>
      <c r="Y233" s="2">
        <v>76.290000000000006</v>
      </c>
      <c r="Z233" s="2">
        <v>32.130000000000003</v>
      </c>
      <c r="AA233" s="2">
        <v>18</v>
      </c>
      <c r="AB233" s="2">
        <v>22.52</v>
      </c>
      <c r="AC233" s="2">
        <v>3.19</v>
      </c>
      <c r="AD233" s="2">
        <v>24.62</v>
      </c>
      <c r="AE233" s="2">
        <v>20.12</v>
      </c>
      <c r="AF233" s="2">
        <v>44.7</v>
      </c>
      <c r="AG233" s="2">
        <v>38.6</v>
      </c>
      <c r="AH233" s="2">
        <v>6.1</v>
      </c>
      <c r="AI233" s="2">
        <v>27.23</v>
      </c>
      <c r="AJ233" s="2">
        <v>4.32</v>
      </c>
      <c r="AK233" s="2">
        <v>1.4039999999999999</v>
      </c>
      <c r="AL233" s="2">
        <v>1.149</v>
      </c>
      <c r="AM233" s="2">
        <v>0.89200000000000002</v>
      </c>
      <c r="AN233" s="2">
        <v>0.81799999999999995</v>
      </c>
      <c r="AO233" s="2">
        <v>1.613</v>
      </c>
      <c r="AP233" s="2">
        <v>0.76600000000000001</v>
      </c>
      <c r="AQ233" s="2">
        <v>0.96599999999999997</v>
      </c>
      <c r="AR233" s="2">
        <v>1.9910000000000001</v>
      </c>
      <c r="AS233" s="2">
        <v>39.97</v>
      </c>
      <c r="AT233" s="2">
        <v>384</v>
      </c>
      <c r="AU233" s="2">
        <v>0.93400000000000005</v>
      </c>
      <c r="AV233" s="2">
        <v>5.57</v>
      </c>
      <c r="AW233" s="2">
        <v>0.16</v>
      </c>
      <c r="AX233" s="2">
        <v>0.20499999999999999</v>
      </c>
      <c r="AY233" s="2">
        <v>0.63400000000000001</v>
      </c>
      <c r="AZ233" s="2">
        <v>0.76</v>
      </c>
      <c r="BA233" s="2">
        <v>0.89</v>
      </c>
      <c r="BB233" s="2">
        <v>5.6</v>
      </c>
      <c r="BC233" s="2">
        <v>37</v>
      </c>
      <c r="BD233" s="2">
        <v>3.6</v>
      </c>
      <c r="BE233" s="2">
        <v>4.4000000000000004</v>
      </c>
      <c r="BF233" s="2">
        <v>23</v>
      </c>
      <c r="BG233" s="2">
        <v>106</v>
      </c>
      <c r="BH233" s="2">
        <v>228</v>
      </c>
      <c r="BI233" s="2">
        <v>78</v>
      </c>
      <c r="BJ233" s="2">
        <v>22</v>
      </c>
      <c r="BK233" s="2">
        <v>55.3</v>
      </c>
      <c r="BL233" s="2">
        <v>2.2999999999999998</v>
      </c>
      <c r="BM233" s="2">
        <v>0.8</v>
      </c>
      <c r="BN233" s="2">
        <v>0</v>
      </c>
      <c r="BO233" s="2">
        <v>0.27</v>
      </c>
      <c r="BP233" s="2">
        <v>1.1399999999999999</v>
      </c>
      <c r="BQ233" s="2">
        <v>0.64</v>
      </c>
    </row>
    <row r="234" spans="1:69" x14ac:dyDescent="0.2">
      <c r="A234">
        <v>10</v>
      </c>
      <c r="B234">
        <v>216</v>
      </c>
      <c r="C234" t="s">
        <v>4</v>
      </c>
      <c r="D234" t="s">
        <v>5</v>
      </c>
      <c r="E234">
        <v>4</v>
      </c>
      <c r="F234" s="2">
        <v>316.89818181818174</v>
      </c>
      <c r="G234" s="2">
        <v>381.45438202247158</v>
      </c>
      <c r="H234" s="2">
        <v>1010.9740909090908</v>
      </c>
      <c r="I234" s="2">
        <v>1282.299775280899</v>
      </c>
      <c r="J234" s="2">
        <v>1327.8722727272725</v>
      </c>
      <c r="K234" s="2">
        <v>1663.7541573033704</v>
      </c>
      <c r="L234" s="2">
        <v>64.556200204289837</v>
      </c>
      <c r="M234" s="2">
        <v>335.88188457609795</v>
      </c>
      <c r="N234" s="2">
        <v>2.1995</v>
      </c>
      <c r="O234" s="2">
        <v>43.239000000000004</v>
      </c>
      <c r="P234" s="2">
        <v>1.1776</v>
      </c>
      <c r="Q234" s="2">
        <v>2.4996575342465754</v>
      </c>
      <c r="R234" s="2">
        <v>1.9948148148148153</v>
      </c>
      <c r="S234" s="2">
        <v>36.775199999999998</v>
      </c>
      <c r="T234" s="2">
        <v>138.99589041095891</v>
      </c>
      <c r="U234" s="2">
        <v>123.25728395061731</v>
      </c>
      <c r="V234" s="2">
        <v>87.299298765432127</v>
      </c>
      <c r="W234" s="2">
        <v>103.54274794520549</v>
      </c>
      <c r="X234" s="2">
        <v>37.952799999999996</v>
      </c>
      <c r="Y234" s="2">
        <v>81.489999999999995</v>
      </c>
      <c r="Z234" s="2">
        <v>37.21</v>
      </c>
      <c r="AA234" s="2">
        <v>16.78</v>
      </c>
      <c r="AB234" s="2">
        <v>25.15</v>
      </c>
      <c r="AC234" s="2">
        <v>2.0499999999999998</v>
      </c>
      <c r="AD234" s="2">
        <v>28.53</v>
      </c>
      <c r="AE234" s="2">
        <v>15.32</v>
      </c>
      <c r="AF234" s="2">
        <v>43.9</v>
      </c>
      <c r="AG234" s="2">
        <v>41.3</v>
      </c>
      <c r="AH234" s="2">
        <v>2.6</v>
      </c>
      <c r="AI234" s="2">
        <v>32.58</v>
      </c>
      <c r="AJ234" s="2">
        <v>5.0599999999999996</v>
      </c>
      <c r="AK234" s="2">
        <v>1.4890000000000001</v>
      </c>
      <c r="AL234" s="2">
        <v>1.1870000000000001</v>
      </c>
      <c r="AM234" s="2">
        <v>0.81200000000000006</v>
      </c>
      <c r="AN234" s="2">
        <v>0.79700000000000004</v>
      </c>
      <c r="AO234" s="2">
        <v>1.7669999999999999</v>
      </c>
      <c r="AP234" s="2">
        <v>0.76700000000000002</v>
      </c>
      <c r="AQ234" s="2">
        <v>1.032</v>
      </c>
      <c r="AR234" s="2">
        <v>1.44</v>
      </c>
      <c r="AS234" s="2">
        <v>28.33</v>
      </c>
      <c r="AT234" s="2">
        <v>361.5</v>
      </c>
      <c r="AU234" s="2">
        <v>1.079</v>
      </c>
      <c r="AV234" s="2">
        <v>4.54</v>
      </c>
      <c r="AW234" s="2">
        <v>0.192</v>
      </c>
      <c r="AX234" s="2">
        <v>0.17199999999999999</v>
      </c>
      <c r="AY234" s="2">
        <v>0.63600000000000001</v>
      </c>
      <c r="AZ234" s="2">
        <v>0.41</v>
      </c>
      <c r="BA234" s="2">
        <v>0.88</v>
      </c>
      <c r="BB234" s="2">
        <v>5.7</v>
      </c>
      <c r="BC234" s="2">
        <v>58</v>
      </c>
      <c r="BD234" s="2">
        <v>2.4</v>
      </c>
      <c r="BE234" s="2">
        <v>4.8</v>
      </c>
      <c r="BF234" s="2">
        <v>13</v>
      </c>
      <c r="BG234" s="2">
        <v>116</v>
      </c>
      <c r="BH234" s="2">
        <v>376</v>
      </c>
      <c r="BI234" s="2">
        <v>137</v>
      </c>
      <c r="BJ234" s="2">
        <v>18</v>
      </c>
      <c r="BK234" s="2">
        <v>52.8</v>
      </c>
      <c r="BL234" s="2">
        <v>2.7</v>
      </c>
      <c r="BM234" s="2">
        <v>1</v>
      </c>
      <c r="BN234" s="2">
        <v>0</v>
      </c>
      <c r="BO234" s="2">
        <v>0.3</v>
      </c>
      <c r="BP234" s="2">
        <v>1.88</v>
      </c>
      <c r="BQ234" s="2">
        <v>1.1299999999999999</v>
      </c>
    </row>
    <row r="235" spans="1:69" x14ac:dyDescent="0.2">
      <c r="A235">
        <v>10</v>
      </c>
      <c r="B235">
        <v>227</v>
      </c>
      <c r="C235" t="s">
        <v>4</v>
      </c>
      <c r="D235" t="s">
        <v>3</v>
      </c>
      <c r="E235">
        <v>2</v>
      </c>
      <c r="F235" s="2">
        <v>299.01586073500954</v>
      </c>
      <c r="G235" s="2">
        <v>329.41808219178068</v>
      </c>
      <c r="H235" s="2">
        <v>693.30638297872349</v>
      </c>
      <c r="I235" s="2">
        <v>491.35890410958916</v>
      </c>
      <c r="J235" s="2">
        <v>992.32224371373309</v>
      </c>
      <c r="K235" s="2">
        <v>820.77698630136979</v>
      </c>
      <c r="L235" s="2">
        <v>30.402221456771144</v>
      </c>
      <c r="M235" s="2">
        <v>-171.5452574123633</v>
      </c>
      <c r="N235" s="2">
        <v>1.9565999999999999</v>
      </c>
      <c r="O235" s="2">
        <v>20.548999999999999</v>
      </c>
      <c r="P235" s="2">
        <v>0.3362</v>
      </c>
      <c r="Q235" s="2">
        <v>8.8553530751708447</v>
      </c>
      <c r="R235" s="2">
        <v>18.340987370838118</v>
      </c>
      <c r="S235" s="2">
        <v>20.54</v>
      </c>
      <c r="T235" s="2">
        <v>68.291799544419135</v>
      </c>
      <c r="U235" s="2">
        <v>73.769919632606204</v>
      </c>
      <c r="V235" s="2">
        <v>71.234707003444328</v>
      </c>
      <c r="W235" s="2">
        <v>56.270952619589977</v>
      </c>
      <c r="X235" s="2">
        <v>20.876200000000001</v>
      </c>
      <c r="Y235" s="2">
        <v>89.08</v>
      </c>
      <c r="Z235" s="2">
        <v>42.79</v>
      </c>
      <c r="AA235" s="2">
        <v>18.73</v>
      </c>
      <c r="AB235" s="2">
        <v>24.82</v>
      </c>
      <c r="AC235" s="2">
        <v>2.4700000000000002</v>
      </c>
      <c r="AD235" s="2">
        <v>20.91</v>
      </c>
      <c r="AE235" s="2">
        <v>27.79</v>
      </c>
      <c r="AF235" s="2">
        <v>48.7</v>
      </c>
      <c r="AG235" s="2">
        <v>45.1</v>
      </c>
      <c r="AH235" s="2">
        <v>3.6</v>
      </c>
      <c r="AI235" s="2">
        <v>36.119999999999997</v>
      </c>
      <c r="AJ235" s="2">
        <v>4.26</v>
      </c>
      <c r="AK235" s="2">
        <v>1.556</v>
      </c>
      <c r="AL235" s="2">
        <v>0.93300000000000005</v>
      </c>
      <c r="AM235" s="2">
        <v>0.79200000000000004</v>
      </c>
      <c r="AN235" s="2">
        <v>0.6</v>
      </c>
      <c r="AO235" s="2">
        <v>1.4510000000000001</v>
      </c>
      <c r="AP235" s="2">
        <v>0.48899999999999999</v>
      </c>
      <c r="AQ235" s="2">
        <v>1.1279999999999999</v>
      </c>
      <c r="AR235" s="2">
        <v>1.669</v>
      </c>
      <c r="AS235" s="2">
        <v>18.03</v>
      </c>
      <c r="AT235" s="2">
        <v>255.3</v>
      </c>
      <c r="AU235" s="2">
        <v>1.3680000000000001</v>
      </c>
      <c r="AV235" s="2">
        <v>0.35</v>
      </c>
      <c r="AW235" s="2">
        <v>0.129</v>
      </c>
      <c r="AX235" s="2">
        <v>0.184</v>
      </c>
      <c r="AY235" s="2">
        <v>0.68700000000000006</v>
      </c>
      <c r="AZ235" s="2">
        <v>0.32</v>
      </c>
      <c r="BA235" s="2">
        <v>1.02</v>
      </c>
      <c r="BB235" s="2">
        <v>8.8000000000000007</v>
      </c>
      <c r="BC235" s="2">
        <v>83</v>
      </c>
      <c r="BD235" s="2">
        <v>1.5</v>
      </c>
      <c r="BE235" s="2">
        <v>5.8</v>
      </c>
      <c r="BF235" s="2">
        <v>228</v>
      </c>
      <c r="BG235" s="2">
        <v>106</v>
      </c>
      <c r="BH235" s="2">
        <v>1287</v>
      </c>
      <c r="BI235" s="2">
        <v>72</v>
      </c>
      <c r="BJ235" s="2">
        <v>15</v>
      </c>
      <c r="BK235" s="2">
        <v>46.6</v>
      </c>
      <c r="BL235" s="2">
        <v>10.199999999999999</v>
      </c>
      <c r="BM235" s="2">
        <v>1.1000000000000001</v>
      </c>
      <c r="BN235" s="2">
        <v>0</v>
      </c>
      <c r="BO235" s="2">
        <v>0.27</v>
      </c>
      <c r="BP235" s="2">
        <v>6.44</v>
      </c>
      <c r="BQ235" s="2">
        <v>0.59</v>
      </c>
    </row>
    <row r="236" spans="1:69" x14ac:dyDescent="0.2">
      <c r="A236">
        <v>20</v>
      </c>
      <c r="B236">
        <v>239</v>
      </c>
      <c r="C236" t="s">
        <v>4</v>
      </c>
      <c r="D236" t="s">
        <v>0</v>
      </c>
      <c r="E236">
        <v>1</v>
      </c>
      <c r="F236" s="2">
        <v>515.40606060606046</v>
      </c>
      <c r="G236" s="2">
        <v>601.01379310344805</v>
      </c>
      <c r="H236" s="2">
        <v>734.83636363636356</v>
      </c>
      <c r="I236" s="2">
        <v>805.93611615245004</v>
      </c>
      <c r="J236" s="2">
        <v>1250.242424242424</v>
      </c>
      <c r="K236" s="2">
        <v>1406.9499092558981</v>
      </c>
      <c r="L236" s="2">
        <v>85.607732497387588</v>
      </c>
      <c r="M236" s="2">
        <v>156.70748501347407</v>
      </c>
      <c r="N236" s="2">
        <v>3.1957999999999998</v>
      </c>
      <c r="O236" s="2">
        <v>31.061</v>
      </c>
      <c r="P236" s="2">
        <v>0.34527896995708152</v>
      </c>
      <c r="Q236" s="2">
        <v>58.848199999999999</v>
      </c>
      <c r="R236" s="2">
        <v>70.35499999999999</v>
      </c>
      <c r="S236" s="2">
        <v>25.449141630901284</v>
      </c>
      <c r="T236" s="2">
        <v>68.654200000000003</v>
      </c>
      <c r="U236" s="2">
        <v>66.851799999999997</v>
      </c>
      <c r="V236" s="2">
        <v>111.41237939914163</v>
      </c>
      <c r="W236" s="2">
        <v>101.70797939914164</v>
      </c>
      <c r="X236" s="2">
        <v>25.794420600858366</v>
      </c>
      <c r="Y236" s="2">
        <v>87.65</v>
      </c>
      <c r="Z236" s="2">
        <v>31.12</v>
      </c>
      <c r="AA236" s="2">
        <v>20.57</v>
      </c>
      <c r="AB236" s="2">
        <v>32.729999999999997</v>
      </c>
      <c r="AC236" s="2">
        <v>2.92</v>
      </c>
      <c r="AD236" s="2">
        <v>26.05</v>
      </c>
      <c r="AE236" s="2">
        <v>24.53</v>
      </c>
      <c r="AF236" s="2">
        <v>50.6</v>
      </c>
      <c r="AG236" s="2">
        <v>44.4</v>
      </c>
      <c r="AH236" s="2">
        <v>6.2</v>
      </c>
      <c r="AI236" s="2">
        <v>33.450000000000003</v>
      </c>
      <c r="AJ236" s="2">
        <v>3.62</v>
      </c>
      <c r="AK236" s="2">
        <v>1.2250000000000001</v>
      </c>
      <c r="AL236" s="2">
        <v>1.089</v>
      </c>
      <c r="AM236" s="2">
        <v>0.97899999999999998</v>
      </c>
      <c r="AN236" s="2">
        <v>0.88900000000000001</v>
      </c>
      <c r="AO236" s="2">
        <v>1.3340000000000001</v>
      </c>
      <c r="AP236" s="2">
        <v>0.83699999999999997</v>
      </c>
      <c r="AQ236" s="2">
        <v>1.109</v>
      </c>
      <c r="AR236" s="2">
        <v>2.71</v>
      </c>
      <c r="AS236" s="2">
        <v>29.08</v>
      </c>
      <c r="AT236" s="2">
        <v>514.70000000000005</v>
      </c>
      <c r="AU236" s="2">
        <v>1.19</v>
      </c>
      <c r="AV236" s="2">
        <v>0.21</v>
      </c>
      <c r="AW236" s="2">
        <v>9.5000000000000001E-2</v>
      </c>
      <c r="AX236" s="2">
        <v>0.2</v>
      </c>
      <c r="AY236" s="2">
        <v>0.70499999999999996</v>
      </c>
      <c r="AZ236" s="2">
        <v>0.32</v>
      </c>
      <c r="BA236" s="2">
        <v>0.97</v>
      </c>
      <c r="BB236" s="2">
        <v>11.7</v>
      </c>
      <c r="BC236" s="2">
        <v>93</v>
      </c>
      <c r="BD236" s="2">
        <v>0.8</v>
      </c>
      <c r="BE236" s="2">
        <v>6.4</v>
      </c>
      <c r="BF236" s="2">
        <v>207</v>
      </c>
      <c r="BG236" s="2">
        <v>139</v>
      </c>
      <c r="BH236" s="2">
        <v>1876</v>
      </c>
      <c r="BI236" s="2">
        <v>139</v>
      </c>
      <c r="BJ236" s="2">
        <v>17</v>
      </c>
      <c r="BK236" s="2">
        <v>41.7</v>
      </c>
      <c r="BL236" s="2">
        <v>21.4</v>
      </c>
      <c r="BM236" s="2">
        <v>1.7</v>
      </c>
      <c r="BN236" s="2">
        <v>0</v>
      </c>
      <c r="BO236" s="2">
        <v>0.36</v>
      </c>
      <c r="BP236" s="2">
        <v>9.3800000000000008</v>
      </c>
      <c r="BQ236" s="2">
        <v>1.1399999999999999</v>
      </c>
    </row>
    <row r="237" spans="1:69" x14ac:dyDescent="0.2">
      <c r="A237">
        <v>10</v>
      </c>
      <c r="B237">
        <v>307</v>
      </c>
      <c r="C237" t="s">
        <v>4</v>
      </c>
      <c r="D237" t="s">
        <v>3</v>
      </c>
      <c r="E237">
        <v>4</v>
      </c>
      <c r="F237" s="2">
        <v>331.53749999999968</v>
      </c>
      <c r="G237" s="2">
        <v>554.18909090909051</v>
      </c>
      <c r="H237" s="2">
        <v>800.42624999999975</v>
      </c>
      <c r="I237" s="2">
        <v>895.58181818181777</v>
      </c>
      <c r="J237" s="2">
        <v>1131.9637499999994</v>
      </c>
      <c r="K237" s="2">
        <v>1449.7709090909084</v>
      </c>
      <c r="L237" s="2">
        <v>222.65159090909083</v>
      </c>
      <c r="M237" s="2">
        <v>317.80715909090895</v>
      </c>
      <c r="N237" s="2">
        <v>1.8517000000000001</v>
      </c>
      <c r="O237" s="2">
        <v>22.917999999999999</v>
      </c>
      <c r="P237" s="2">
        <v>0.80800000000000005</v>
      </c>
      <c r="Q237" s="2">
        <v>28.723538230884561</v>
      </c>
      <c r="R237" s="2">
        <v>30.336301369863012</v>
      </c>
      <c r="S237" s="2">
        <v>38.339799999999997</v>
      </c>
      <c r="T237" s="2">
        <v>66.692053973013486</v>
      </c>
      <c r="U237" s="2">
        <v>40.07351598173517</v>
      </c>
      <c r="V237" s="2">
        <v>31.262017351598182</v>
      </c>
      <c r="W237" s="2">
        <v>56.267792203898047</v>
      </c>
      <c r="X237" s="2">
        <v>39.147799999999997</v>
      </c>
      <c r="Y237" s="2">
        <v>98.38</v>
      </c>
      <c r="Z237" s="2">
        <v>48.53</v>
      </c>
      <c r="AA237" s="2">
        <v>20.329999999999998</v>
      </c>
      <c r="AB237" s="2">
        <v>26.82</v>
      </c>
      <c r="AC237" s="2">
        <v>2.44</v>
      </c>
      <c r="AD237" s="2">
        <v>17.170000000000002</v>
      </c>
      <c r="AE237" s="2">
        <v>14.42</v>
      </c>
      <c r="AF237" s="2">
        <v>31.6</v>
      </c>
      <c r="AG237" s="2">
        <v>49.8</v>
      </c>
      <c r="AH237" s="2">
        <v>-18.2</v>
      </c>
      <c r="AI237" s="2">
        <v>59.35</v>
      </c>
      <c r="AJ237" s="2">
        <v>7.44</v>
      </c>
      <c r="AK237" s="2">
        <v>1.59</v>
      </c>
      <c r="AL237" s="2">
        <v>0.68700000000000006</v>
      </c>
      <c r="AM237" s="2">
        <v>0.45900000000000002</v>
      </c>
      <c r="AN237" s="2">
        <v>0.432</v>
      </c>
      <c r="AO237" s="2">
        <v>1.093</v>
      </c>
      <c r="AP237" s="2">
        <v>0.35399999999999998</v>
      </c>
      <c r="AQ237" s="2">
        <v>1.2450000000000001</v>
      </c>
      <c r="AR237" s="2">
        <v>0.94499999999999995</v>
      </c>
      <c r="AS237" s="2">
        <v>12.25</v>
      </c>
      <c r="AT237" s="2">
        <v>169</v>
      </c>
      <c r="AU237" s="2">
        <v>1.4990000000000001</v>
      </c>
      <c r="AV237" s="2">
        <v>1.1100000000000001</v>
      </c>
      <c r="AW237" s="2">
        <v>0.191</v>
      </c>
      <c r="AX237" s="2">
        <v>0.17</v>
      </c>
      <c r="AY237" s="2">
        <v>0.63900000000000001</v>
      </c>
      <c r="AZ237" s="2">
        <v>0.32</v>
      </c>
      <c r="BA237" s="2">
        <v>1.03</v>
      </c>
      <c r="BB237" s="2">
        <v>5.6</v>
      </c>
      <c r="BC237" s="2">
        <v>81</v>
      </c>
      <c r="BD237" s="2">
        <v>1</v>
      </c>
      <c r="BE237" s="2">
        <v>5.8</v>
      </c>
      <c r="BF237" s="2">
        <v>213</v>
      </c>
      <c r="BG237" s="2">
        <v>100</v>
      </c>
      <c r="BH237" s="2">
        <v>558</v>
      </c>
      <c r="BI237" s="2">
        <v>180</v>
      </c>
      <c r="BJ237" s="2">
        <v>26</v>
      </c>
      <c r="BK237" s="2">
        <v>36.4</v>
      </c>
      <c r="BL237" s="2">
        <v>6.7</v>
      </c>
      <c r="BM237" s="2">
        <v>2</v>
      </c>
      <c r="BN237" s="2">
        <v>0</v>
      </c>
      <c r="BO237" s="2">
        <v>0.26</v>
      </c>
      <c r="BP237" s="2">
        <v>2.79</v>
      </c>
      <c r="BQ237" s="2">
        <v>1.48</v>
      </c>
    </row>
    <row r="238" spans="1:69" x14ac:dyDescent="0.2">
      <c r="A238">
        <v>20</v>
      </c>
      <c r="B238">
        <v>19</v>
      </c>
      <c r="C238" t="s">
        <v>12</v>
      </c>
      <c r="D238" t="s">
        <v>5</v>
      </c>
      <c r="E238">
        <v>3</v>
      </c>
      <c r="F238" s="2">
        <v>125.65363357215975</v>
      </c>
      <c r="G238" s="2">
        <v>86.435398230088495</v>
      </c>
      <c r="H238" s="2">
        <v>409.53776867963148</v>
      </c>
      <c r="I238" s="2">
        <v>484.33628318584067</v>
      </c>
      <c r="J238" s="2">
        <v>535.19140225179126</v>
      </c>
      <c r="K238" s="2">
        <v>570.77168141592915</v>
      </c>
      <c r="L238" s="2">
        <v>-39.218235342071253</v>
      </c>
      <c r="M238" s="2">
        <v>35.580279164137892</v>
      </c>
      <c r="N238" s="2">
        <v>0.75079999999999991</v>
      </c>
      <c r="O238" s="2">
        <v>22.177</v>
      </c>
      <c r="P238" s="2">
        <v>0.66400000000000003</v>
      </c>
      <c r="Q238" s="2">
        <v>0.5706</v>
      </c>
      <c r="R238" s="2">
        <v>3.6206000000000005</v>
      </c>
      <c r="S238" s="2">
        <v>9.827</v>
      </c>
      <c r="T238" s="2">
        <v>15.659599999999998</v>
      </c>
      <c r="U238" s="2">
        <v>12.755799999999999</v>
      </c>
      <c r="V238" s="2">
        <v>5.8854000000000006</v>
      </c>
      <c r="W238" s="2">
        <v>5.7391999999999967</v>
      </c>
      <c r="X238" s="2">
        <v>10.491</v>
      </c>
      <c r="Y238" s="2">
        <v>96.09</v>
      </c>
      <c r="Z238" s="2">
        <v>48.35</v>
      </c>
      <c r="AA238" s="2">
        <v>23.14</v>
      </c>
      <c r="AB238" s="2">
        <v>20</v>
      </c>
      <c r="AC238" s="2">
        <v>3.91</v>
      </c>
      <c r="AD238" s="2">
        <v>33.950000000000003</v>
      </c>
      <c r="AE238" s="2">
        <v>22.74</v>
      </c>
      <c r="AF238" s="2">
        <v>56.7</v>
      </c>
      <c r="AG238" s="2">
        <v>48.7</v>
      </c>
      <c r="AH238" s="2">
        <v>8</v>
      </c>
      <c r="AI238" s="2">
        <v>28.57</v>
      </c>
      <c r="AJ238" s="2">
        <v>10.83</v>
      </c>
      <c r="AK238" s="2">
        <v>1.63</v>
      </c>
      <c r="AL238" s="2">
        <v>1.212</v>
      </c>
      <c r="AM238" s="2">
        <v>0.79300000000000004</v>
      </c>
      <c r="AN238" s="2">
        <v>0.74399999999999999</v>
      </c>
      <c r="AO238" s="2">
        <v>1.9750000000000001</v>
      </c>
      <c r="AP238" s="2">
        <v>0.70199999999999996</v>
      </c>
      <c r="AQ238" s="2">
        <v>1.216</v>
      </c>
      <c r="AR238" s="2">
        <v>0.56699999999999995</v>
      </c>
      <c r="AS238" s="2">
        <v>15.19</v>
      </c>
      <c r="AT238" s="2">
        <v>153.4</v>
      </c>
      <c r="AU238" s="2">
        <v>1.323</v>
      </c>
      <c r="AV238" s="2">
        <v>2.95</v>
      </c>
      <c r="AW238" s="2">
        <v>0.16800000000000001</v>
      </c>
      <c r="AX238" s="2">
        <v>0.21199999999999999</v>
      </c>
      <c r="AY238" s="2">
        <v>0.62</v>
      </c>
      <c r="AZ238" s="2">
        <v>0.27</v>
      </c>
      <c r="BA238" s="2">
        <v>1.0900000000000001</v>
      </c>
      <c r="BB238" s="2">
        <v>4.9000000000000004</v>
      </c>
      <c r="BC238" s="2">
        <v>28</v>
      </c>
      <c r="BD238" s="2">
        <v>3.5</v>
      </c>
      <c r="BE238" s="2">
        <v>4.0999999999999996</v>
      </c>
      <c r="BF238" s="2">
        <v>6</v>
      </c>
      <c r="BG238" s="2">
        <v>44</v>
      </c>
      <c r="BH238" s="2">
        <v>183</v>
      </c>
      <c r="BI238" s="2">
        <v>43</v>
      </c>
      <c r="BJ238" s="2">
        <v>10</v>
      </c>
      <c r="BK238" s="2">
        <v>2.1</v>
      </c>
      <c r="BL238" s="2">
        <v>0.5</v>
      </c>
      <c r="BM238" s="2">
        <v>0.5</v>
      </c>
      <c r="BN238" s="2">
        <v>0</v>
      </c>
      <c r="BO238" s="2">
        <v>0.11</v>
      </c>
      <c r="BP238" s="2">
        <v>0.92</v>
      </c>
      <c r="BQ238" s="2">
        <v>0.35</v>
      </c>
    </row>
    <row r="239" spans="1:69" x14ac:dyDescent="0.2">
      <c r="A239">
        <v>20</v>
      </c>
      <c r="B239">
        <v>112</v>
      </c>
      <c r="C239" t="s">
        <v>12</v>
      </c>
      <c r="D239" t="s">
        <v>0</v>
      </c>
      <c r="E239">
        <v>2</v>
      </c>
      <c r="F239" s="2">
        <v>367.37160243407703</v>
      </c>
      <c r="G239" s="2">
        <v>409.18062111801237</v>
      </c>
      <c r="H239" s="2">
        <v>633.29330628803234</v>
      </c>
      <c r="I239" s="2">
        <v>802.04422360248441</v>
      </c>
      <c r="J239" s="2">
        <v>1000.6649087221094</v>
      </c>
      <c r="K239" s="2">
        <v>1211.2248447204968</v>
      </c>
      <c r="L239" s="2">
        <v>41.809018683935335</v>
      </c>
      <c r="M239" s="2">
        <v>210.55993599838735</v>
      </c>
      <c r="N239" s="2">
        <v>2.2420999999999998</v>
      </c>
      <c r="O239" s="2">
        <v>24.186999999999998</v>
      </c>
      <c r="P239" s="2">
        <v>0.73799999999999999</v>
      </c>
      <c r="Q239" s="2">
        <v>3.1914000000000002</v>
      </c>
      <c r="R239" s="2">
        <v>3.0450000000000004</v>
      </c>
      <c r="S239" s="2">
        <v>14.359</v>
      </c>
      <c r="T239" s="2">
        <v>62.418800000000005</v>
      </c>
      <c r="U239" s="2">
        <v>76.308800000000005</v>
      </c>
      <c r="V239" s="2">
        <v>64.256800000000013</v>
      </c>
      <c r="W239" s="2">
        <v>50.513200000000005</v>
      </c>
      <c r="X239" s="2">
        <v>15.097</v>
      </c>
      <c r="Y239" s="2">
        <v>90.24</v>
      </c>
      <c r="Z239" s="2">
        <v>39.11</v>
      </c>
      <c r="AA239" s="2">
        <v>25.1</v>
      </c>
      <c r="AB239" s="2">
        <v>21.18</v>
      </c>
      <c r="AC239" s="2">
        <v>4.37</v>
      </c>
      <c r="AD239" s="2">
        <v>28.09</v>
      </c>
      <c r="AE239" s="2">
        <v>30.01</v>
      </c>
      <c r="AF239" s="2">
        <v>58.1</v>
      </c>
      <c r="AG239" s="2">
        <v>45.7</v>
      </c>
      <c r="AH239" s="2">
        <v>12.4</v>
      </c>
      <c r="AI239" s="2">
        <v>27.22</v>
      </c>
      <c r="AJ239" s="2">
        <v>4.92</v>
      </c>
      <c r="AK239" s="2">
        <v>1.4570000000000001</v>
      </c>
      <c r="AL239" s="2">
        <v>1.1499999999999999</v>
      </c>
      <c r="AM239" s="2">
        <v>0.90500000000000003</v>
      </c>
      <c r="AN239" s="2">
        <v>0.78900000000000003</v>
      </c>
      <c r="AO239" s="2">
        <v>1.6759999999999999</v>
      </c>
      <c r="AP239" s="2">
        <v>0.71799999999999997</v>
      </c>
      <c r="AQ239" s="2">
        <v>1.1419999999999999</v>
      </c>
      <c r="AR239" s="2">
        <v>1.8560000000000001</v>
      </c>
      <c r="AS239" s="2">
        <v>19.940000000000001</v>
      </c>
      <c r="AT239" s="2">
        <v>339.8</v>
      </c>
      <c r="AU239" s="2">
        <v>1.296</v>
      </c>
      <c r="AV239" s="2">
        <v>5.83</v>
      </c>
      <c r="AW239" s="2">
        <v>0.114</v>
      </c>
      <c r="AX239" s="2">
        <v>0.20599999999999999</v>
      </c>
      <c r="AY239" s="2">
        <v>0.68</v>
      </c>
      <c r="AZ239" s="2">
        <v>0.41</v>
      </c>
      <c r="BA239" s="2">
        <v>0.98</v>
      </c>
      <c r="BB239" s="2">
        <v>7.1</v>
      </c>
      <c r="BC239" s="2">
        <v>79</v>
      </c>
      <c r="BD239" s="2">
        <v>1.5</v>
      </c>
      <c r="BE239" s="2">
        <v>5.4</v>
      </c>
      <c r="BF239" s="2">
        <v>39</v>
      </c>
      <c r="BG239" s="2">
        <v>50</v>
      </c>
      <c r="BH239" s="2">
        <v>785</v>
      </c>
      <c r="BI239" s="2">
        <v>188</v>
      </c>
      <c r="BJ239" s="2">
        <v>14</v>
      </c>
      <c r="BK239" s="2">
        <v>29</v>
      </c>
      <c r="BL239" s="2">
        <v>10.9</v>
      </c>
      <c r="BM239" s="2">
        <v>3</v>
      </c>
      <c r="BN239" s="2">
        <v>0.1</v>
      </c>
      <c r="BO239" s="2">
        <v>0.13</v>
      </c>
      <c r="BP239" s="2">
        <v>3.93</v>
      </c>
      <c r="BQ239" s="2">
        <v>1.55</v>
      </c>
    </row>
    <row r="240" spans="1:69" x14ac:dyDescent="0.2">
      <c r="A240">
        <v>10</v>
      </c>
      <c r="B240">
        <v>122</v>
      </c>
      <c r="C240" t="s">
        <v>12</v>
      </c>
      <c r="D240" t="s">
        <v>5</v>
      </c>
      <c r="E240">
        <v>1</v>
      </c>
      <c r="F240" s="2">
        <v>384.79494926719195</v>
      </c>
      <c r="G240" s="2">
        <v>283.22209718670035</v>
      </c>
      <c r="H240" s="2">
        <v>987.61758737316802</v>
      </c>
      <c r="I240" s="2">
        <v>888.9452685421993</v>
      </c>
      <c r="J240" s="2">
        <v>1372.41253664036</v>
      </c>
      <c r="K240" s="2">
        <v>1172.1673657288998</v>
      </c>
      <c r="L240" s="2">
        <v>-101.5728520804916</v>
      </c>
      <c r="M240" s="2">
        <v>-200.24517091146026</v>
      </c>
      <c r="N240" s="2">
        <v>1.88</v>
      </c>
      <c r="O240" s="2">
        <v>34.317999999999998</v>
      </c>
      <c r="P240" s="2">
        <v>0.69079999999999997</v>
      </c>
      <c r="Q240" s="2">
        <v>2.2352422907488991</v>
      </c>
      <c r="R240" s="2">
        <v>1.1944897959183671</v>
      </c>
      <c r="S240" s="2">
        <v>18.706199999999999</v>
      </c>
      <c r="T240" s="2">
        <v>84.706020558002933</v>
      </c>
      <c r="U240" s="2">
        <v>92.568571428571431</v>
      </c>
      <c r="V240" s="2">
        <v>74.366061224489812</v>
      </c>
      <c r="W240" s="2">
        <v>67.544262848751828</v>
      </c>
      <c r="X240" s="2">
        <v>19.396999999999998</v>
      </c>
      <c r="Y240" s="2">
        <v>91.57</v>
      </c>
      <c r="Z240" s="2">
        <v>37.81</v>
      </c>
      <c r="AA240" s="2">
        <v>18.39</v>
      </c>
      <c r="AB240" s="2">
        <v>27.78</v>
      </c>
      <c r="AC240" s="2">
        <v>6.7</v>
      </c>
      <c r="AD240" s="2">
        <v>24.75</v>
      </c>
      <c r="AE240" s="2">
        <v>18.61</v>
      </c>
      <c r="AF240" s="2">
        <v>43.4</v>
      </c>
      <c r="AG240" s="2">
        <v>46.4</v>
      </c>
      <c r="AH240" s="2">
        <v>-3</v>
      </c>
      <c r="AI240" s="2">
        <v>34.630000000000003</v>
      </c>
      <c r="AJ240" s="2">
        <v>13.58</v>
      </c>
      <c r="AK240" s="2">
        <v>1.361</v>
      </c>
      <c r="AL240" s="2">
        <v>0.96599999999999997</v>
      </c>
      <c r="AM240" s="2">
        <v>0.77200000000000002</v>
      </c>
      <c r="AN240" s="2">
        <v>0.71</v>
      </c>
      <c r="AO240" s="2">
        <v>1.3140000000000001</v>
      </c>
      <c r="AP240" s="2">
        <v>0.65500000000000003</v>
      </c>
      <c r="AQ240" s="2">
        <v>1.159</v>
      </c>
      <c r="AR240" s="2">
        <v>1.2549999999999999</v>
      </c>
      <c r="AS240" s="2">
        <v>24.27</v>
      </c>
      <c r="AT240" s="2">
        <v>323.10000000000002</v>
      </c>
      <c r="AU240" s="2">
        <v>1.179</v>
      </c>
      <c r="AV240" s="2">
        <v>0.56999999999999995</v>
      </c>
      <c r="AW240" s="2">
        <v>0.109</v>
      </c>
      <c r="AX240" s="2">
        <v>0.38100000000000001</v>
      </c>
      <c r="AY240" s="2">
        <v>0.51</v>
      </c>
      <c r="AZ240" s="2">
        <v>0.51</v>
      </c>
      <c r="BA240" s="2">
        <v>0.98</v>
      </c>
      <c r="BB240" s="2">
        <v>4.5999999999999996</v>
      </c>
      <c r="BC240" s="2">
        <v>48</v>
      </c>
      <c r="BD240" s="2">
        <v>2.4</v>
      </c>
      <c r="BE240" s="2">
        <v>4.7</v>
      </c>
      <c r="BF240" s="2">
        <v>18</v>
      </c>
      <c r="BG240" s="2">
        <v>48</v>
      </c>
      <c r="BH240" s="2">
        <v>296</v>
      </c>
      <c r="BI240" s="2">
        <v>70</v>
      </c>
      <c r="BJ240" s="2">
        <v>15</v>
      </c>
      <c r="BK240" s="2">
        <v>70.400000000000006</v>
      </c>
      <c r="BL240" s="2">
        <v>3.6</v>
      </c>
      <c r="BM240" s="2">
        <v>1.2</v>
      </c>
      <c r="BN240" s="2">
        <v>0</v>
      </c>
      <c r="BO240" s="2">
        <v>0.12</v>
      </c>
      <c r="BP240" s="2">
        <v>1.48</v>
      </c>
      <c r="BQ240" s="2">
        <v>0.57999999999999996</v>
      </c>
    </row>
    <row r="241" spans="1:69" x14ac:dyDescent="0.2">
      <c r="A241">
        <v>20</v>
      </c>
      <c r="B241">
        <v>125</v>
      </c>
      <c r="C241" t="s">
        <v>12</v>
      </c>
      <c r="D241" t="s">
        <v>3</v>
      </c>
      <c r="E241">
        <v>4</v>
      </c>
      <c r="F241" s="2">
        <v>321.02321792260676</v>
      </c>
      <c r="G241" s="2">
        <v>298.399555061179</v>
      </c>
      <c r="H241" s="2">
        <v>611.1788187372706</v>
      </c>
      <c r="I241" s="2">
        <v>660.86229143492767</v>
      </c>
      <c r="J241" s="2">
        <v>932.20203665987742</v>
      </c>
      <c r="K241" s="2">
        <v>959.26184649610673</v>
      </c>
      <c r="L241" s="2">
        <v>-22.623662861427761</v>
      </c>
      <c r="M241" s="2">
        <v>27.059809836229306</v>
      </c>
      <c r="N241" s="2">
        <v>1.9145999999999999</v>
      </c>
      <c r="O241" s="2">
        <v>22.233000000000001</v>
      </c>
      <c r="P241" s="2">
        <v>0.89480000000000004</v>
      </c>
      <c r="Q241" s="2">
        <v>12.851399999999998</v>
      </c>
      <c r="R241" s="2">
        <v>11.842200000000002</v>
      </c>
      <c r="S241" s="2">
        <v>22.944600000000001</v>
      </c>
      <c r="T241" s="2">
        <v>93.698000000000008</v>
      </c>
      <c r="U241" s="2">
        <v>71.991200000000006</v>
      </c>
      <c r="V241" s="2">
        <v>59.994000000000014</v>
      </c>
      <c r="W241" s="2">
        <v>82.710000000000008</v>
      </c>
      <c r="X241" s="2">
        <v>23.839400000000001</v>
      </c>
      <c r="Y241" s="2">
        <v>84.38</v>
      </c>
      <c r="Z241" s="2">
        <v>53.1</v>
      </c>
      <c r="AA241" s="2">
        <v>18.57</v>
      </c>
      <c r="AB241" s="2">
        <v>10.49</v>
      </c>
      <c r="AC241" s="2">
        <v>1.78</v>
      </c>
      <c r="AD241" s="2">
        <v>34.799999999999997</v>
      </c>
      <c r="AE241" s="2">
        <v>20.23</v>
      </c>
      <c r="AF241" s="2">
        <v>55</v>
      </c>
      <c r="AG241" s="2">
        <v>42.7</v>
      </c>
      <c r="AH241" s="2">
        <v>12.3</v>
      </c>
      <c r="AI241" s="2">
        <v>23.74</v>
      </c>
      <c r="AJ241" s="2">
        <v>5.61</v>
      </c>
      <c r="AK241" s="2">
        <v>1.966</v>
      </c>
      <c r="AL241" s="2">
        <v>1.38</v>
      </c>
      <c r="AM241" s="2">
        <v>0.76800000000000002</v>
      </c>
      <c r="AN241" s="2">
        <v>0.70199999999999996</v>
      </c>
      <c r="AO241" s="2">
        <v>2.714</v>
      </c>
      <c r="AP241" s="2">
        <v>0.65500000000000003</v>
      </c>
      <c r="AQ241" s="2">
        <v>1.0680000000000001</v>
      </c>
      <c r="AR241" s="2">
        <v>1.7529999999999999</v>
      </c>
      <c r="AS241" s="2">
        <v>21.91</v>
      </c>
      <c r="AT241" s="2">
        <v>273.10000000000002</v>
      </c>
      <c r="AU241" s="2">
        <v>1.319</v>
      </c>
      <c r="AV241" s="2">
        <v>17.29</v>
      </c>
      <c r="AW241" s="2">
        <v>0.24299999999999999</v>
      </c>
      <c r="AX241" s="2">
        <v>0.26400000000000001</v>
      </c>
      <c r="AY241" s="2">
        <v>0.49299999999999999</v>
      </c>
      <c r="AZ241" s="2">
        <v>0.56000000000000005</v>
      </c>
      <c r="BA241" s="2">
        <v>0.92</v>
      </c>
      <c r="BB241" s="2">
        <v>6.9</v>
      </c>
      <c r="BC241" s="2">
        <v>68</v>
      </c>
      <c r="BD241" s="2">
        <v>2.2000000000000002</v>
      </c>
      <c r="BE241" s="2">
        <v>5</v>
      </c>
      <c r="BF241" s="2">
        <v>93</v>
      </c>
      <c r="BG241" s="2">
        <v>149</v>
      </c>
      <c r="BH241" s="2">
        <v>644</v>
      </c>
      <c r="BI241" s="2">
        <v>135</v>
      </c>
      <c r="BJ241" s="2">
        <v>18</v>
      </c>
      <c r="BK241" s="2">
        <v>32.6</v>
      </c>
      <c r="BL241" s="2">
        <v>7.4</v>
      </c>
      <c r="BM241" s="2">
        <v>4.7</v>
      </c>
      <c r="BN241" s="2">
        <v>0</v>
      </c>
      <c r="BO241" s="2">
        <v>0.38</v>
      </c>
      <c r="BP241" s="2">
        <v>3.22</v>
      </c>
      <c r="BQ241" s="2">
        <v>1.1100000000000001</v>
      </c>
    </row>
    <row r="242" spans="1:69" x14ac:dyDescent="0.2">
      <c r="A242">
        <v>20</v>
      </c>
      <c r="B242">
        <v>154</v>
      </c>
      <c r="C242" t="s">
        <v>12</v>
      </c>
      <c r="D242" t="s">
        <v>5</v>
      </c>
      <c r="E242">
        <v>2</v>
      </c>
      <c r="F242" s="2">
        <v>166.72393923520153</v>
      </c>
      <c r="G242" s="2">
        <v>143.848532289628</v>
      </c>
      <c r="H242" s="2">
        <v>530.34091147197489</v>
      </c>
      <c r="I242" s="2">
        <v>719.24266144814089</v>
      </c>
      <c r="J242" s="2">
        <v>697.06485070717645</v>
      </c>
      <c r="K242" s="2">
        <v>863.09119373776889</v>
      </c>
      <c r="L242" s="2">
        <v>-22.87540694557353</v>
      </c>
      <c r="M242" s="2">
        <v>166.02634303059244</v>
      </c>
      <c r="N242" s="2">
        <v>1.3047</v>
      </c>
      <c r="O242" s="2">
        <v>24.773999999999997</v>
      </c>
      <c r="P242" s="2">
        <v>0.66839999999999999</v>
      </c>
      <c r="Q242" s="2">
        <v>0.58620000000000005</v>
      </c>
      <c r="R242" s="2">
        <v>0.61019999999999996</v>
      </c>
      <c r="S242" s="2">
        <v>16.5</v>
      </c>
      <c r="T242" s="2">
        <v>46.744399999999999</v>
      </c>
      <c r="U242" s="2">
        <v>36.265999999999998</v>
      </c>
      <c r="V242" s="2">
        <v>19.707799999999999</v>
      </c>
      <c r="W242" s="2">
        <v>30.162199999999999</v>
      </c>
      <c r="X242" s="2">
        <v>17.168399999999998</v>
      </c>
      <c r="Y242" s="2">
        <v>91.11</v>
      </c>
      <c r="Z242" s="2">
        <v>38.28</v>
      </c>
      <c r="AA242" s="2">
        <v>26.55</v>
      </c>
      <c r="AB242" s="2">
        <v>21.63</v>
      </c>
      <c r="AC242" s="2">
        <v>3.97</v>
      </c>
      <c r="AD242" s="2">
        <v>30.66</v>
      </c>
      <c r="AE242" s="2">
        <v>29.43</v>
      </c>
      <c r="AF242" s="2">
        <v>60.1</v>
      </c>
      <c r="AG242" s="2">
        <v>46.1</v>
      </c>
      <c r="AH242" s="2">
        <v>14</v>
      </c>
      <c r="AI242" s="2">
        <v>23.12</v>
      </c>
      <c r="AJ242" s="2">
        <v>7.9</v>
      </c>
      <c r="AK242" s="2">
        <v>1.427</v>
      </c>
      <c r="AL242" s="2">
        <v>1.21</v>
      </c>
      <c r="AM242" s="2">
        <v>0.92700000000000005</v>
      </c>
      <c r="AN242" s="2">
        <v>0.84799999999999998</v>
      </c>
      <c r="AO242" s="2">
        <v>1.728</v>
      </c>
      <c r="AP242" s="2">
        <v>0.80100000000000005</v>
      </c>
      <c r="AQ242" s="2">
        <v>1.153</v>
      </c>
      <c r="AR242" s="2">
        <v>1.089</v>
      </c>
      <c r="AS242" s="2">
        <v>20.21</v>
      </c>
      <c r="AT242" s="2">
        <v>235.8</v>
      </c>
      <c r="AU242" s="2">
        <v>1.1759999999999999</v>
      </c>
      <c r="AV242" s="2">
        <v>7.32</v>
      </c>
      <c r="AW242" s="2">
        <v>0.123</v>
      </c>
      <c r="AX242" s="2">
        <v>0.187</v>
      </c>
      <c r="AY242" s="2">
        <v>0.69</v>
      </c>
      <c r="AZ242" s="2">
        <v>0.46</v>
      </c>
      <c r="BA242" s="2">
        <v>0.99</v>
      </c>
      <c r="BB242" s="2">
        <v>4.4000000000000004</v>
      </c>
      <c r="BC242" s="2">
        <v>37</v>
      </c>
      <c r="BD242" s="2">
        <v>2.8</v>
      </c>
      <c r="BE242" s="2">
        <v>4.3</v>
      </c>
      <c r="BF242" s="2">
        <v>18</v>
      </c>
      <c r="BG242" s="2">
        <v>58</v>
      </c>
      <c r="BH242" s="2">
        <v>182</v>
      </c>
      <c r="BI242" s="2">
        <v>69</v>
      </c>
      <c r="BJ242" s="2">
        <v>14</v>
      </c>
      <c r="BK242" s="2">
        <v>19.7</v>
      </c>
      <c r="BL242" s="2">
        <v>2.5</v>
      </c>
      <c r="BM242" s="2">
        <v>1.1000000000000001</v>
      </c>
      <c r="BN242" s="2">
        <v>0</v>
      </c>
      <c r="BO242" s="2">
        <v>0.15</v>
      </c>
      <c r="BP242" s="2">
        <v>0.91</v>
      </c>
      <c r="BQ242" s="2">
        <v>0.56999999999999995</v>
      </c>
    </row>
    <row r="243" spans="1:69" x14ac:dyDescent="0.2">
      <c r="A243">
        <v>20</v>
      </c>
      <c r="B243">
        <v>165</v>
      </c>
      <c r="C243" t="s">
        <v>12</v>
      </c>
      <c r="D243" t="s">
        <v>3</v>
      </c>
      <c r="E243">
        <v>3</v>
      </c>
      <c r="F243" s="2">
        <v>105.98601398601393</v>
      </c>
      <c r="G243" s="2">
        <v>150.73664855829497</v>
      </c>
      <c r="H243" s="2">
        <v>259.35401069518707</v>
      </c>
      <c r="I243" s="2">
        <v>316.67363142498942</v>
      </c>
      <c r="J243" s="2">
        <v>365.34002468120099</v>
      </c>
      <c r="K243" s="2">
        <v>467.4102799832844</v>
      </c>
      <c r="L243" s="2">
        <v>44.750634572281044</v>
      </c>
      <c r="M243" s="2">
        <v>102.07025530208341</v>
      </c>
      <c r="N243" s="2">
        <v>0.94700000000000006</v>
      </c>
      <c r="O243" s="2">
        <v>10.058</v>
      </c>
      <c r="P243" s="2">
        <v>0.50260000000000005</v>
      </c>
      <c r="Q243" s="2">
        <v>2.8721999999999999</v>
      </c>
      <c r="R243" s="2">
        <v>7.9098000000000006</v>
      </c>
      <c r="S243" s="2">
        <v>11.270199999999999</v>
      </c>
      <c r="T243" s="2">
        <v>37.614799999999995</v>
      </c>
      <c r="U243" s="2">
        <v>31.375999999999998</v>
      </c>
      <c r="V243" s="2">
        <v>27.512999999999998</v>
      </c>
      <c r="W243" s="2">
        <v>28.714199999999998</v>
      </c>
      <c r="X243" s="2">
        <v>11.772799999999998</v>
      </c>
      <c r="Y243" s="2">
        <v>104.39</v>
      </c>
      <c r="Z243" s="2">
        <v>49.78</v>
      </c>
      <c r="AA243" s="2">
        <v>31.86</v>
      </c>
      <c r="AB243" s="2">
        <v>18.66</v>
      </c>
      <c r="AC243" s="2">
        <v>3.41</v>
      </c>
      <c r="AD243" s="2">
        <v>25.19</v>
      </c>
      <c r="AE243" s="2">
        <v>44.09</v>
      </c>
      <c r="AF243" s="2">
        <v>69.3</v>
      </c>
      <c r="AG243" s="2">
        <v>52.9</v>
      </c>
      <c r="AH243" s="2">
        <v>16.399999999999999</v>
      </c>
      <c r="AI243" s="2">
        <v>26.74</v>
      </c>
      <c r="AJ243" s="2">
        <v>8.3699999999999992</v>
      </c>
      <c r="AK243" s="2">
        <v>1.59</v>
      </c>
      <c r="AL243" s="2">
        <v>0.999</v>
      </c>
      <c r="AM243" s="2">
        <v>0.84899999999999998</v>
      </c>
      <c r="AN243" s="2">
        <v>0.628</v>
      </c>
      <c r="AO243" s="2">
        <v>1.5880000000000001</v>
      </c>
      <c r="AP243" s="2">
        <v>0.50600000000000001</v>
      </c>
      <c r="AQ243" s="2">
        <v>1.321</v>
      </c>
      <c r="AR243" s="2">
        <v>0.74299999999999999</v>
      </c>
      <c r="AS243" s="2">
        <v>9.19</v>
      </c>
      <c r="AT243" s="2">
        <v>141.9</v>
      </c>
      <c r="AU243" s="2">
        <v>1.5009999999999999</v>
      </c>
      <c r="AV243" s="2">
        <v>5.0599999999999996</v>
      </c>
      <c r="AW243" s="2">
        <v>9.8000000000000004E-2</v>
      </c>
      <c r="AX243" s="2">
        <v>0.17499999999999999</v>
      </c>
      <c r="AY243" s="2">
        <v>0.72699999999999998</v>
      </c>
      <c r="AZ243" s="2">
        <v>0.27</v>
      </c>
      <c r="BA243" s="2">
        <v>1.1599999999999999</v>
      </c>
      <c r="BB243" s="2">
        <v>4</v>
      </c>
      <c r="BC243" s="2">
        <v>69</v>
      </c>
      <c r="BD243" s="2">
        <v>1.2</v>
      </c>
      <c r="BE243" s="2">
        <v>5.2</v>
      </c>
      <c r="BF243" s="2">
        <v>88</v>
      </c>
      <c r="BG243" s="2">
        <v>56</v>
      </c>
      <c r="BH243" s="2">
        <v>380</v>
      </c>
      <c r="BI243" s="2">
        <v>90</v>
      </c>
      <c r="BJ243" s="2">
        <v>11</v>
      </c>
      <c r="BK243" s="2">
        <v>30.1</v>
      </c>
      <c r="BL243" s="2">
        <v>2.5</v>
      </c>
      <c r="BM243" s="2">
        <v>1.1000000000000001</v>
      </c>
      <c r="BN243" s="2">
        <v>0</v>
      </c>
      <c r="BO243" s="2">
        <v>0.14000000000000001</v>
      </c>
      <c r="BP243" s="2">
        <v>1.9</v>
      </c>
      <c r="BQ243" s="2">
        <v>0.74</v>
      </c>
    </row>
    <row r="244" spans="1:69" x14ac:dyDescent="0.2">
      <c r="A244">
        <v>20</v>
      </c>
      <c r="B244">
        <v>218</v>
      </c>
      <c r="C244" t="s">
        <v>12</v>
      </c>
      <c r="D244" t="s">
        <v>5</v>
      </c>
      <c r="E244">
        <v>4</v>
      </c>
      <c r="F244" s="2">
        <v>148.65448060633076</v>
      </c>
      <c r="G244" s="2">
        <v>198.55021834061131</v>
      </c>
      <c r="H244" s="2">
        <v>460.82888987962536</v>
      </c>
      <c r="I244" s="2">
        <v>822.14497816593882</v>
      </c>
      <c r="J244" s="2">
        <v>609.48337048595613</v>
      </c>
      <c r="K244" s="2">
        <v>1020.6951965065501</v>
      </c>
      <c r="L244" s="2">
        <v>49.895737734280544</v>
      </c>
      <c r="M244" s="2">
        <v>411.211826020594</v>
      </c>
      <c r="N244" s="2">
        <v>1.986</v>
      </c>
      <c r="O244" s="2">
        <v>31.890999999999998</v>
      </c>
      <c r="P244" s="2">
        <v>0.77539999999999998</v>
      </c>
      <c r="Q244" s="2">
        <v>0.94020000000000004</v>
      </c>
      <c r="R244" s="2">
        <v>1.2797999999999998</v>
      </c>
      <c r="S244" s="2">
        <v>20.363199999999999</v>
      </c>
      <c r="T244" s="2">
        <v>50.069600000000001</v>
      </c>
      <c r="U244" s="2">
        <v>65.55680000000001</v>
      </c>
      <c r="V244" s="2">
        <v>45.698000000000008</v>
      </c>
      <c r="W244" s="2">
        <v>29.871199999999998</v>
      </c>
      <c r="X244" s="2">
        <v>21.1386</v>
      </c>
      <c r="Y244" s="2">
        <v>89.39</v>
      </c>
      <c r="Z244" s="2">
        <v>39.64</v>
      </c>
      <c r="AA244" s="2">
        <v>28.3</v>
      </c>
      <c r="AB244" s="2">
        <v>17.329999999999998</v>
      </c>
      <c r="AC244" s="2">
        <v>3.44</v>
      </c>
      <c r="AD244" s="2">
        <v>23.32</v>
      </c>
      <c r="AE244" s="2">
        <v>38.57</v>
      </c>
      <c r="AF244" s="2">
        <v>61.9</v>
      </c>
      <c r="AG244" s="2">
        <v>45.3</v>
      </c>
      <c r="AH244" s="2">
        <v>16.600000000000001</v>
      </c>
      <c r="AI244" s="2">
        <v>19.34</v>
      </c>
      <c r="AJ244" s="2">
        <v>8.16</v>
      </c>
      <c r="AK244" s="2">
        <v>1.5029999999999999</v>
      </c>
      <c r="AL244" s="2">
        <v>1.0549999999999999</v>
      </c>
      <c r="AM244" s="2">
        <v>0.91100000000000003</v>
      </c>
      <c r="AN244" s="2">
        <v>0.70199999999999996</v>
      </c>
      <c r="AO244" s="2">
        <v>1.5860000000000001</v>
      </c>
      <c r="AP244" s="2">
        <v>0.58799999999999997</v>
      </c>
      <c r="AQ244" s="2">
        <v>1.1319999999999999</v>
      </c>
      <c r="AR244" s="2">
        <v>1.6040000000000001</v>
      </c>
      <c r="AS244" s="2">
        <v>25.49</v>
      </c>
      <c r="AT244" s="2">
        <v>283.3</v>
      </c>
      <c r="AU244" s="2">
        <v>1.1859999999999999</v>
      </c>
      <c r="AV244" s="2">
        <v>3.66</v>
      </c>
      <c r="AW244" s="2">
        <v>0.14799999999999999</v>
      </c>
      <c r="AX244" s="2">
        <v>0.28699999999999998</v>
      </c>
      <c r="AY244" s="2">
        <v>0.56499999999999995</v>
      </c>
      <c r="AZ244" s="2">
        <v>0.71</v>
      </c>
      <c r="BA244" s="2">
        <v>0.93</v>
      </c>
      <c r="BB244" s="2">
        <v>6.1</v>
      </c>
      <c r="BC244" s="2">
        <v>46</v>
      </c>
      <c r="BD244" s="2">
        <v>3.3</v>
      </c>
      <c r="BE244" s="2">
        <v>4.4000000000000004</v>
      </c>
      <c r="BF244" s="2">
        <v>39</v>
      </c>
      <c r="BG244" s="2">
        <v>60</v>
      </c>
      <c r="BH244" s="2">
        <v>352</v>
      </c>
      <c r="BI244" s="2">
        <v>111</v>
      </c>
      <c r="BJ244" s="2">
        <v>22</v>
      </c>
      <c r="BK244" s="2">
        <v>72.5</v>
      </c>
      <c r="BL244" s="2">
        <v>3.5</v>
      </c>
      <c r="BM244" s="2">
        <v>1.3</v>
      </c>
      <c r="BN244" s="2">
        <v>0.1</v>
      </c>
      <c r="BO244" s="2">
        <v>0.15</v>
      </c>
      <c r="BP244" s="2">
        <v>1.76</v>
      </c>
      <c r="BQ244" s="2">
        <v>0.91</v>
      </c>
    </row>
    <row r="245" spans="1:69" x14ac:dyDescent="0.2">
      <c r="A245">
        <v>10</v>
      </c>
      <c r="B245">
        <v>231</v>
      </c>
      <c r="C245" t="s">
        <v>12</v>
      </c>
      <c r="D245" t="s">
        <v>3</v>
      </c>
      <c r="E245">
        <v>2</v>
      </c>
      <c r="F245" s="2">
        <v>271.86738738738705</v>
      </c>
      <c r="G245" s="2">
        <v>362.27910780669089</v>
      </c>
      <c r="H245" s="2">
        <v>500.6486486486487</v>
      </c>
      <c r="I245" s="2">
        <v>656.3843866171004</v>
      </c>
      <c r="J245" s="2">
        <v>772.51603603603576</v>
      </c>
      <c r="K245" s="2">
        <v>1018.6634944237912</v>
      </c>
      <c r="L245" s="2">
        <v>90.411720419303833</v>
      </c>
      <c r="M245" s="2">
        <v>246.14745838775548</v>
      </c>
      <c r="N245" s="2">
        <v>1.8062</v>
      </c>
      <c r="O245" s="2">
        <v>19.579999999999998</v>
      </c>
      <c r="P245" s="2">
        <v>0.74160000000000004</v>
      </c>
      <c r="Q245" s="2">
        <v>10.518208092485549</v>
      </c>
      <c r="R245" s="2">
        <v>11.768181818181818</v>
      </c>
      <c r="S245" s="2">
        <v>22.375799999999998</v>
      </c>
      <c r="T245" s="2">
        <v>75.275144508670522</v>
      </c>
      <c r="U245" s="2">
        <v>68.804761904761904</v>
      </c>
      <c r="V245" s="2">
        <v>57.455543722943723</v>
      </c>
      <c r="W245" s="2">
        <v>62.675952601156077</v>
      </c>
      <c r="X245" s="2">
        <v>23.117399999999996</v>
      </c>
      <c r="Y245" s="2">
        <v>95.55</v>
      </c>
      <c r="Z245" s="2">
        <v>47.3</v>
      </c>
      <c r="AA245" s="2">
        <v>20.03</v>
      </c>
      <c r="AB245" s="2">
        <v>24.95</v>
      </c>
      <c r="AC245" s="2">
        <v>2.82</v>
      </c>
      <c r="AD245" s="2">
        <v>27.78</v>
      </c>
      <c r="AE245" s="2">
        <v>20.89</v>
      </c>
      <c r="AF245" s="2">
        <v>48.7</v>
      </c>
      <c r="AG245" s="2">
        <v>48.4</v>
      </c>
      <c r="AH245" s="2">
        <v>0.3</v>
      </c>
      <c r="AI245" s="2">
        <v>40.49</v>
      </c>
      <c r="AJ245" s="2">
        <v>6.39</v>
      </c>
      <c r="AK245" s="2">
        <v>1.595</v>
      </c>
      <c r="AL245" s="2">
        <v>1.0389999999999999</v>
      </c>
      <c r="AM245" s="2">
        <v>0.72299999999999998</v>
      </c>
      <c r="AN245" s="2">
        <v>0.65100000000000002</v>
      </c>
      <c r="AO245" s="2">
        <v>1.657</v>
      </c>
      <c r="AP245" s="2">
        <v>0.58699999999999997</v>
      </c>
      <c r="AQ245" s="2">
        <v>1.2090000000000001</v>
      </c>
      <c r="AR245" s="2">
        <v>1.3819999999999999</v>
      </c>
      <c r="AS245" s="2">
        <v>16.11</v>
      </c>
      <c r="AT245" s="2">
        <v>271.60000000000002</v>
      </c>
      <c r="AU245" s="2">
        <v>1.365</v>
      </c>
      <c r="AV245" s="2">
        <v>14.53</v>
      </c>
      <c r="AW245" s="2">
        <v>0.20100000000000001</v>
      </c>
      <c r="AX245" s="2">
        <v>0.21299999999999999</v>
      </c>
      <c r="AY245" s="2">
        <v>0.58599999999999997</v>
      </c>
      <c r="AZ245" s="2">
        <v>0.32</v>
      </c>
      <c r="BA245" s="2">
        <v>0.94</v>
      </c>
      <c r="BB245" s="2">
        <v>7.3</v>
      </c>
      <c r="BC245" s="2">
        <v>79</v>
      </c>
      <c r="BD245" s="2">
        <v>1.6</v>
      </c>
      <c r="BE245" s="2">
        <v>5.4</v>
      </c>
      <c r="BF245" s="2">
        <v>82</v>
      </c>
      <c r="BG245" s="2">
        <v>83</v>
      </c>
      <c r="BH245" s="2">
        <v>752</v>
      </c>
      <c r="BI245" s="2">
        <v>215</v>
      </c>
      <c r="BJ245" s="2">
        <v>13</v>
      </c>
      <c r="BK245" s="2">
        <v>25.3</v>
      </c>
      <c r="BL245" s="2">
        <v>10.8</v>
      </c>
      <c r="BM245" s="2">
        <v>4</v>
      </c>
      <c r="BN245" s="2">
        <v>0</v>
      </c>
      <c r="BO245" s="2">
        <v>0.21</v>
      </c>
      <c r="BP245" s="2">
        <v>3.76</v>
      </c>
      <c r="BQ245" s="2">
        <v>1.77</v>
      </c>
    </row>
    <row r="246" spans="1:69" x14ac:dyDescent="0.2">
      <c r="A246">
        <v>10</v>
      </c>
      <c r="B246">
        <v>263</v>
      </c>
      <c r="C246" t="s">
        <v>12</v>
      </c>
      <c r="D246" t="s">
        <v>0</v>
      </c>
      <c r="E246">
        <v>3</v>
      </c>
      <c r="F246" s="2">
        <v>832.63382519863774</v>
      </c>
      <c r="G246" s="2">
        <v>383.8637554585153</v>
      </c>
      <c r="H246" s="2">
        <v>1398.6183881952327</v>
      </c>
      <c r="I246" s="2">
        <v>823.98340611353706</v>
      </c>
      <c r="J246" s="2">
        <v>2231.2522133938705</v>
      </c>
      <c r="K246" s="2">
        <v>1207.8471615720523</v>
      </c>
      <c r="L246" s="2">
        <v>-448.77006974012244</v>
      </c>
      <c r="M246" s="2">
        <v>-1023.4050518218182</v>
      </c>
      <c r="N246" s="2">
        <v>3.6905999999999999</v>
      </c>
      <c r="O246" s="2">
        <v>38.646000000000001</v>
      </c>
      <c r="P246" s="2">
        <v>0.16520000000000001</v>
      </c>
      <c r="Q246" s="2">
        <v>10.803993855606763</v>
      </c>
      <c r="R246" s="2">
        <v>1.6125748502994015</v>
      </c>
      <c r="S246" s="2">
        <v>27.596599999999999</v>
      </c>
      <c r="T246" s="2">
        <v>141.39692780337941</v>
      </c>
      <c r="U246" s="2">
        <v>142.59481037924152</v>
      </c>
      <c r="V246" s="2">
        <v>116.44558522954094</v>
      </c>
      <c r="W246" s="2">
        <v>124.43912165898618</v>
      </c>
      <c r="X246" s="2">
        <v>27.761799999999997</v>
      </c>
      <c r="Y246" s="2">
        <v>82.17</v>
      </c>
      <c r="Z246" s="2">
        <v>21.03</v>
      </c>
      <c r="AA246" s="2">
        <v>22.37</v>
      </c>
      <c r="AB246" s="2">
        <v>34.76</v>
      </c>
      <c r="AC246" s="2">
        <v>3.57</v>
      </c>
      <c r="AD246" s="2">
        <v>20.61</v>
      </c>
      <c r="AE246" s="2">
        <v>24.74</v>
      </c>
      <c r="AF246" s="2">
        <v>45.4</v>
      </c>
      <c r="AG246" s="2">
        <v>41.6</v>
      </c>
      <c r="AH246" s="2">
        <v>3.7</v>
      </c>
      <c r="AI246" s="2">
        <v>33.11</v>
      </c>
      <c r="AJ246" s="2">
        <v>3.71</v>
      </c>
      <c r="AK246" s="2">
        <v>0.97199999999999998</v>
      </c>
      <c r="AL246" s="2">
        <v>0.97199999999999998</v>
      </c>
      <c r="AM246" s="2">
        <v>1.0449999999999999</v>
      </c>
      <c r="AN246" s="2">
        <v>1</v>
      </c>
      <c r="AO246" s="2">
        <v>0.94399999999999995</v>
      </c>
      <c r="AP246" s="2">
        <v>0.98</v>
      </c>
      <c r="AQ246" s="2">
        <v>1.04</v>
      </c>
      <c r="AR246" s="2">
        <v>2.617</v>
      </c>
      <c r="AS246" s="2">
        <v>28.63</v>
      </c>
      <c r="AT246" s="2">
        <v>469.2</v>
      </c>
      <c r="AU246" s="2">
        <v>1.07</v>
      </c>
      <c r="AV246" s="2">
        <v>0.89</v>
      </c>
      <c r="AW246" s="2">
        <v>7.0000000000000007E-2</v>
      </c>
      <c r="AX246" s="2">
        <v>0.153</v>
      </c>
      <c r="AY246" s="2">
        <v>0.77700000000000002</v>
      </c>
      <c r="AZ246" s="2">
        <v>0.32</v>
      </c>
      <c r="BA246" s="2">
        <v>0.96</v>
      </c>
      <c r="BB246" s="2">
        <v>9.4</v>
      </c>
      <c r="BC246" s="2">
        <v>85</v>
      </c>
      <c r="BD246" s="2">
        <v>1.4</v>
      </c>
      <c r="BE246" s="2">
        <v>5.9</v>
      </c>
      <c r="BF246" s="2">
        <v>109</v>
      </c>
      <c r="BG246" s="2">
        <v>55</v>
      </c>
      <c r="BH246" s="2">
        <v>1109</v>
      </c>
      <c r="BI246" s="2">
        <v>278</v>
      </c>
      <c r="BJ246" s="2">
        <v>17</v>
      </c>
      <c r="BK246" s="2">
        <v>40.299999999999997</v>
      </c>
      <c r="BL246" s="2">
        <v>11.7</v>
      </c>
      <c r="BM246" s="2">
        <v>1.4</v>
      </c>
      <c r="BN246" s="2">
        <v>0</v>
      </c>
      <c r="BO246" s="2">
        <v>0.14000000000000001</v>
      </c>
      <c r="BP246" s="2">
        <v>5.55</v>
      </c>
      <c r="BQ246" s="2">
        <v>2.29</v>
      </c>
    </row>
    <row r="247" spans="1:69" x14ac:dyDescent="0.2">
      <c r="A247">
        <v>20</v>
      </c>
      <c r="B247">
        <v>284</v>
      </c>
      <c r="C247" t="s">
        <v>12</v>
      </c>
      <c r="D247" t="s">
        <v>0</v>
      </c>
      <c r="E247">
        <v>1</v>
      </c>
      <c r="F247" s="2">
        <v>364.14700854700845</v>
      </c>
      <c r="G247" s="2">
        <v>429.10126182965303</v>
      </c>
      <c r="H247" s="2">
        <v>578.60512820512815</v>
      </c>
      <c r="I247" s="2">
        <v>590.4624605678232</v>
      </c>
      <c r="J247" s="2">
        <v>942.75213675213661</v>
      </c>
      <c r="K247" s="2">
        <v>1019.5637223974762</v>
      </c>
      <c r="L247" s="2">
        <v>64.954253282644572</v>
      </c>
      <c r="M247" s="2">
        <v>76.811585645339619</v>
      </c>
      <c r="N247" s="2">
        <v>1.915</v>
      </c>
      <c r="O247" s="2">
        <v>20.488</v>
      </c>
      <c r="P247" s="2">
        <v>0.57520000000000004</v>
      </c>
      <c r="Q247" s="2">
        <v>2.6585999999999999</v>
      </c>
      <c r="R247" s="2">
        <v>5.2314000000000007</v>
      </c>
      <c r="S247" s="2">
        <v>16.137</v>
      </c>
      <c r="T247" s="2">
        <v>58.437199999999997</v>
      </c>
      <c r="U247" s="2">
        <v>54.083599999999997</v>
      </c>
      <c r="V247" s="2">
        <v>42.602800000000002</v>
      </c>
      <c r="W247" s="2">
        <v>44.383600000000001</v>
      </c>
      <c r="X247" s="2">
        <v>16.712199999999999</v>
      </c>
      <c r="Y247" s="2">
        <v>95.37</v>
      </c>
      <c r="Z247" s="2">
        <v>17.010000000000002</v>
      </c>
      <c r="AA247" s="2">
        <v>36.31</v>
      </c>
      <c r="AB247" s="2">
        <v>36.93</v>
      </c>
      <c r="AC247" s="2">
        <v>4.5</v>
      </c>
      <c r="AD247" s="2">
        <v>14.83</v>
      </c>
      <c r="AE247" s="2">
        <v>43.02</v>
      </c>
      <c r="AF247" s="2">
        <v>57.9</v>
      </c>
      <c r="AG247" s="2">
        <v>48.3</v>
      </c>
      <c r="AH247" s="2">
        <v>9.6</v>
      </c>
      <c r="AI247" s="2">
        <v>32.49</v>
      </c>
      <c r="AJ247" s="2">
        <v>5.03</v>
      </c>
      <c r="AK247" s="2">
        <v>0.81100000000000005</v>
      </c>
      <c r="AL247" s="2">
        <v>0.78200000000000003</v>
      </c>
      <c r="AM247" s="2">
        <v>1.085</v>
      </c>
      <c r="AN247" s="2">
        <v>0.96499999999999997</v>
      </c>
      <c r="AO247" s="2">
        <v>0.63400000000000001</v>
      </c>
      <c r="AP247" s="2">
        <v>0.872</v>
      </c>
      <c r="AQ247" s="2">
        <v>1.2070000000000001</v>
      </c>
      <c r="AR247" s="2">
        <v>1.788</v>
      </c>
      <c r="AS247" s="2">
        <v>19.16</v>
      </c>
      <c r="AT247" s="2">
        <v>289</v>
      </c>
      <c r="AU247" s="2">
        <v>1.3129999999999999</v>
      </c>
      <c r="AV247" s="2">
        <v>8.01</v>
      </c>
      <c r="AW247" s="2">
        <v>5.7000000000000002E-2</v>
      </c>
      <c r="AX247" s="2">
        <v>0.14299999999999999</v>
      </c>
      <c r="AY247" s="2">
        <v>0.79900000000000004</v>
      </c>
      <c r="AZ247" s="2">
        <v>0.27</v>
      </c>
      <c r="BA247" s="2">
        <v>1.0900000000000001</v>
      </c>
      <c r="BB247" s="2">
        <v>6.7</v>
      </c>
      <c r="BC247" s="2">
        <v>87</v>
      </c>
      <c r="BD247" s="2">
        <v>0.9</v>
      </c>
      <c r="BE247" s="2">
        <v>6.1</v>
      </c>
      <c r="BF247" s="2">
        <v>52</v>
      </c>
      <c r="BG247" s="2">
        <v>30</v>
      </c>
      <c r="BH247" s="2">
        <v>792</v>
      </c>
      <c r="BI247" s="2">
        <v>214</v>
      </c>
      <c r="BJ247" s="2">
        <v>12</v>
      </c>
      <c r="BK247" s="2">
        <v>24.1</v>
      </c>
      <c r="BL247" s="2">
        <v>11.2</v>
      </c>
      <c r="BM247" s="2">
        <v>2.2999999999999998</v>
      </c>
      <c r="BN247" s="2">
        <v>0</v>
      </c>
      <c r="BO247" s="2">
        <v>0.08</v>
      </c>
      <c r="BP247" s="2">
        <v>3.96</v>
      </c>
      <c r="BQ247" s="2">
        <v>1.76</v>
      </c>
    </row>
    <row r="248" spans="1:69" x14ac:dyDescent="0.2">
      <c r="A248">
        <v>20</v>
      </c>
      <c r="B248">
        <v>292</v>
      </c>
      <c r="C248" t="s">
        <v>12</v>
      </c>
      <c r="D248" t="s">
        <v>0</v>
      </c>
      <c r="E248">
        <v>4</v>
      </c>
      <c r="F248" s="2">
        <v>476.30738478622965</v>
      </c>
      <c r="G248" s="2">
        <v>625.1310207588981</v>
      </c>
      <c r="H248" s="2">
        <v>705.20421987784539</v>
      </c>
      <c r="I248" s="2">
        <v>862.29695626611169</v>
      </c>
      <c r="J248" s="2">
        <v>1181.5116046640751</v>
      </c>
      <c r="K248" s="2">
        <v>1487.4279770250098</v>
      </c>
      <c r="L248" s="2">
        <v>148.82363597266846</v>
      </c>
      <c r="M248" s="2">
        <v>305.9163723609347</v>
      </c>
      <c r="N248" s="2">
        <v>2.9526999999999997</v>
      </c>
      <c r="O248" s="2">
        <v>30.526</v>
      </c>
      <c r="P248" s="2">
        <v>0.61619999999999997</v>
      </c>
      <c r="Q248" s="2">
        <v>3.1602000000000001</v>
      </c>
      <c r="R248" s="2">
        <v>11.245799999999999</v>
      </c>
      <c r="S248" s="2">
        <v>25.314399999999999</v>
      </c>
      <c r="T248" s="2">
        <v>109.92560000000002</v>
      </c>
      <c r="U248" s="2">
        <v>92.078000000000003</v>
      </c>
      <c r="V248" s="2">
        <v>77.393200000000007</v>
      </c>
      <c r="W248" s="2">
        <v>87.155200000000022</v>
      </c>
      <c r="X248" s="2">
        <v>25.930599999999998</v>
      </c>
      <c r="Y248" s="2">
        <v>88.24</v>
      </c>
      <c r="Z248" s="2">
        <v>22.33</v>
      </c>
      <c r="AA248" s="2">
        <v>26.28</v>
      </c>
      <c r="AB248" s="2">
        <v>35.840000000000003</v>
      </c>
      <c r="AC248" s="2">
        <v>3.25</v>
      </c>
      <c r="AD248" s="2">
        <v>22.4</v>
      </c>
      <c r="AE248" s="2">
        <v>29.58</v>
      </c>
      <c r="AF248" s="2">
        <v>52</v>
      </c>
      <c r="AG248" s="2">
        <v>44.7</v>
      </c>
      <c r="AH248" s="2">
        <v>7.3</v>
      </c>
      <c r="AI248" s="2">
        <v>32.14</v>
      </c>
      <c r="AJ248" s="2">
        <v>4.12</v>
      </c>
      <c r="AK248" s="2">
        <v>0.97699999999999998</v>
      </c>
      <c r="AL248" s="2">
        <v>0.996</v>
      </c>
      <c r="AM248" s="2">
        <v>1.069</v>
      </c>
      <c r="AN248" s="2">
        <v>1.02</v>
      </c>
      <c r="AO248" s="2">
        <v>0.97299999999999998</v>
      </c>
      <c r="AP248" s="2">
        <v>1.0029999999999999</v>
      </c>
      <c r="AQ248" s="2">
        <v>1.117</v>
      </c>
      <c r="AR248" s="2">
        <v>2.36</v>
      </c>
      <c r="AS248" s="2">
        <v>25.39</v>
      </c>
      <c r="AT248" s="2">
        <v>366.2</v>
      </c>
      <c r="AU248" s="2">
        <v>1.1319999999999999</v>
      </c>
      <c r="AV248" s="2">
        <v>2.25</v>
      </c>
      <c r="AW248" s="2">
        <v>7.6999999999999999E-2</v>
      </c>
      <c r="AX248" s="2">
        <v>0.159</v>
      </c>
      <c r="AY248" s="2">
        <v>0.76400000000000001</v>
      </c>
      <c r="AZ248" s="2">
        <v>0.32</v>
      </c>
      <c r="BA248" s="2">
        <v>0.95</v>
      </c>
      <c r="BB248" s="2">
        <v>7.2</v>
      </c>
      <c r="BC248" s="2">
        <v>81</v>
      </c>
      <c r="BD248" s="2">
        <v>1.4</v>
      </c>
      <c r="BE248" s="2">
        <v>5.8</v>
      </c>
      <c r="BF248" s="2">
        <v>123</v>
      </c>
      <c r="BG248" s="2">
        <v>55</v>
      </c>
      <c r="BH248" s="2">
        <v>764</v>
      </c>
      <c r="BI248" s="2">
        <v>228</v>
      </c>
      <c r="BJ248" s="2">
        <v>16</v>
      </c>
      <c r="BK248" s="2">
        <v>34.200000000000003</v>
      </c>
      <c r="BL248" s="2">
        <v>8</v>
      </c>
      <c r="BM248" s="2">
        <v>2.2000000000000002</v>
      </c>
      <c r="BN248" s="2">
        <v>0.1</v>
      </c>
      <c r="BO248" s="2">
        <v>0.14000000000000001</v>
      </c>
      <c r="BP248" s="2">
        <v>3.82</v>
      </c>
      <c r="BQ248" s="2">
        <v>1.88</v>
      </c>
    </row>
    <row r="249" spans="1:69" x14ac:dyDescent="0.2">
      <c r="A249">
        <v>20</v>
      </c>
      <c r="B249">
        <v>296</v>
      </c>
      <c r="C249" t="s">
        <v>12</v>
      </c>
      <c r="D249" t="s">
        <v>3</v>
      </c>
      <c r="E249">
        <v>1</v>
      </c>
      <c r="F249" s="2">
        <v>151.42358235823576</v>
      </c>
      <c r="G249" s="2">
        <v>244.51961057023647</v>
      </c>
      <c r="H249" s="2">
        <v>301.48298829882981</v>
      </c>
      <c r="I249" s="2">
        <v>643.62058414464525</v>
      </c>
      <c r="J249" s="2">
        <v>452.90657065706557</v>
      </c>
      <c r="K249" s="2">
        <v>888.14019471488177</v>
      </c>
      <c r="L249" s="2">
        <v>93.096028212000704</v>
      </c>
      <c r="M249" s="2">
        <v>435.2336240578162</v>
      </c>
      <c r="N249" s="2">
        <v>1.1809000000000001</v>
      </c>
      <c r="O249" s="2">
        <v>13.764000000000001</v>
      </c>
      <c r="P249" s="2">
        <v>0.69340000000000002</v>
      </c>
      <c r="Q249" s="2">
        <v>2.4834000000000001</v>
      </c>
      <c r="R249" s="2">
        <v>10.7394</v>
      </c>
      <c r="S249" s="2">
        <v>19.190000000000001</v>
      </c>
      <c r="T249" s="2">
        <v>55.3232</v>
      </c>
      <c r="U249" s="2">
        <v>50.297599999999996</v>
      </c>
      <c r="V249" s="2">
        <v>41.15359999999999</v>
      </c>
      <c r="W249" s="2">
        <v>37.923200000000001</v>
      </c>
      <c r="X249" s="2">
        <v>19.883400000000002</v>
      </c>
      <c r="Y249" s="2">
        <v>94.65</v>
      </c>
      <c r="Z249" s="2">
        <v>47.04</v>
      </c>
      <c r="AA249" s="2">
        <v>25.44</v>
      </c>
      <c r="AB249" s="2">
        <v>17.78</v>
      </c>
      <c r="AC249" s="2">
        <v>3.83</v>
      </c>
      <c r="AD249" s="2">
        <v>26.7</v>
      </c>
      <c r="AE249" s="2">
        <v>31.67</v>
      </c>
      <c r="AF249" s="2">
        <v>58.4</v>
      </c>
      <c r="AG249" s="2">
        <v>47.9</v>
      </c>
      <c r="AH249" s="2">
        <v>10.4</v>
      </c>
      <c r="AI249" s="2">
        <v>29.78</v>
      </c>
      <c r="AJ249" s="2">
        <v>6.5</v>
      </c>
      <c r="AK249" s="2">
        <v>1.627</v>
      </c>
      <c r="AL249" s="2">
        <v>1.07</v>
      </c>
      <c r="AM249" s="2">
        <v>0.80500000000000005</v>
      </c>
      <c r="AN249" s="2">
        <v>0.65800000000000003</v>
      </c>
      <c r="AO249" s="2">
        <v>1.74</v>
      </c>
      <c r="AP249" s="2">
        <v>0.56799999999999995</v>
      </c>
      <c r="AQ249" s="2">
        <v>1.198</v>
      </c>
      <c r="AR249" s="2">
        <v>1.0289999999999999</v>
      </c>
      <c r="AS249" s="2">
        <v>11.72</v>
      </c>
      <c r="AT249" s="2">
        <v>153.4</v>
      </c>
      <c r="AU249" s="2">
        <v>1.5620000000000001</v>
      </c>
      <c r="AV249" s="2">
        <v>10.86</v>
      </c>
      <c r="AW249" s="2">
        <v>0.14899999999999999</v>
      </c>
      <c r="AX249" s="2">
        <v>0.18099999999999999</v>
      </c>
      <c r="AY249" s="2">
        <v>0.67</v>
      </c>
      <c r="AZ249" s="2">
        <v>0.27</v>
      </c>
      <c r="BA249" s="2">
        <v>1</v>
      </c>
      <c r="BB249" s="2">
        <v>5.3</v>
      </c>
      <c r="BC249" s="2">
        <v>71</v>
      </c>
      <c r="BD249" s="2">
        <v>1.6</v>
      </c>
      <c r="BE249" s="2">
        <v>5.2</v>
      </c>
      <c r="BF249" s="2">
        <v>45</v>
      </c>
      <c r="BG249" s="2">
        <v>76</v>
      </c>
      <c r="BH249" s="2">
        <v>513</v>
      </c>
      <c r="BI249" s="2">
        <v>122</v>
      </c>
      <c r="BJ249" s="2">
        <v>12</v>
      </c>
      <c r="BK249" s="2">
        <v>15.3</v>
      </c>
      <c r="BL249" s="2">
        <v>10.3</v>
      </c>
      <c r="BM249" s="2">
        <v>8.3000000000000007</v>
      </c>
      <c r="BN249" s="2">
        <v>0</v>
      </c>
      <c r="BO249" s="2">
        <v>0.19</v>
      </c>
      <c r="BP249" s="2">
        <v>2.57</v>
      </c>
      <c r="BQ249" s="2">
        <v>1</v>
      </c>
    </row>
    <row r="250" spans="1:69" x14ac:dyDescent="0.2">
      <c r="A250">
        <v>10</v>
      </c>
      <c r="B250">
        <v>9</v>
      </c>
      <c r="C250" t="s">
        <v>25</v>
      </c>
      <c r="D250" t="s">
        <v>0</v>
      </c>
      <c r="E250">
        <v>3</v>
      </c>
      <c r="F250" s="2">
        <v>272.92997987927578</v>
      </c>
      <c r="G250" s="2">
        <v>305.16230836832324</v>
      </c>
      <c r="H250" s="2">
        <v>608.37464788732382</v>
      </c>
      <c r="I250" s="2">
        <v>443.38810663021161</v>
      </c>
      <c r="J250" s="2">
        <v>881.30462776659965</v>
      </c>
      <c r="K250" s="2">
        <v>748.55041499853485</v>
      </c>
      <c r="L250" s="2">
        <v>32.232328489047461</v>
      </c>
      <c r="M250" s="2">
        <v>-132.7542127680648</v>
      </c>
      <c r="N250" s="2">
        <v>1.3104</v>
      </c>
      <c r="O250" s="2">
        <v>20.119</v>
      </c>
      <c r="P250" s="2">
        <v>0.53420000000000001</v>
      </c>
      <c r="Q250" s="2">
        <v>1.4609999999999999</v>
      </c>
      <c r="R250" s="2">
        <v>1.4583416583416584</v>
      </c>
      <c r="S250" s="2">
        <v>16.134799999999998</v>
      </c>
      <c r="T250" s="2">
        <v>31.04</v>
      </c>
      <c r="U250" s="2">
        <v>35.406799999999997</v>
      </c>
      <c r="V250" s="2">
        <v>20.196141658341659</v>
      </c>
      <c r="W250" s="2">
        <v>15.832000000000001</v>
      </c>
      <c r="X250" s="2">
        <v>16.668999999999997</v>
      </c>
      <c r="Y250" s="2">
        <v>105.74</v>
      </c>
      <c r="Z250" s="2">
        <v>2.2799999999999998</v>
      </c>
      <c r="AA250" s="2">
        <v>35.82</v>
      </c>
      <c r="AB250" s="2">
        <v>59.91</v>
      </c>
      <c r="AC250" s="2">
        <v>6.99</v>
      </c>
      <c r="AD250" s="2">
        <v>3.8</v>
      </c>
      <c r="AE250" s="2">
        <v>41.08</v>
      </c>
      <c r="AF250" s="2">
        <v>44.9</v>
      </c>
      <c r="AG250" s="2">
        <v>53.5</v>
      </c>
      <c r="AH250" s="2">
        <v>-8.6999999999999993</v>
      </c>
      <c r="AI250" s="2">
        <v>55.6</v>
      </c>
      <c r="AJ250" s="2">
        <v>5.26</v>
      </c>
      <c r="AK250" s="2">
        <v>0.36199999999999999</v>
      </c>
      <c r="AL250" s="2">
        <v>0.42799999999999999</v>
      </c>
      <c r="AM250" s="2">
        <v>1.1779999999999999</v>
      </c>
      <c r="AN250" s="2">
        <v>1.1819999999999999</v>
      </c>
      <c r="AO250" s="2">
        <v>0.155</v>
      </c>
      <c r="AP250" s="2">
        <v>1.667</v>
      </c>
      <c r="AQ250" s="2">
        <v>1.3380000000000001</v>
      </c>
      <c r="AR250" s="2">
        <v>0.92300000000000004</v>
      </c>
      <c r="AS250" s="2">
        <v>13.89</v>
      </c>
      <c r="AT250" s="2">
        <v>212.2</v>
      </c>
      <c r="AU250" s="2">
        <v>1.3120000000000001</v>
      </c>
      <c r="AV250" s="2">
        <v>1.31</v>
      </c>
      <c r="AW250" s="2">
        <v>7.5999999999999998E-2</v>
      </c>
      <c r="AX250" s="2">
        <v>0.112</v>
      </c>
      <c r="AY250" s="2">
        <v>0.81200000000000006</v>
      </c>
      <c r="AZ250" s="2">
        <v>0.56000000000000005</v>
      </c>
      <c r="BA250" s="2">
        <v>1.2</v>
      </c>
      <c r="BB250" s="2">
        <v>5.3</v>
      </c>
      <c r="BC250" s="2">
        <v>76</v>
      </c>
      <c r="BD250" s="2">
        <v>1.3</v>
      </c>
      <c r="BE250" s="2">
        <v>5.8</v>
      </c>
      <c r="BF250" s="2">
        <v>292</v>
      </c>
      <c r="BG250" s="2">
        <v>126</v>
      </c>
      <c r="BH250" s="2">
        <v>514</v>
      </c>
      <c r="BI250" s="2">
        <v>132</v>
      </c>
      <c r="BJ250" s="2">
        <v>11</v>
      </c>
      <c r="BK250" s="2">
        <v>10.5</v>
      </c>
      <c r="BL250" s="2">
        <v>5.5</v>
      </c>
      <c r="BM250" s="2">
        <v>3.8</v>
      </c>
      <c r="BN250" s="2">
        <v>0</v>
      </c>
      <c r="BO250" s="2">
        <v>0.32</v>
      </c>
      <c r="BP250" s="2">
        <v>2.57</v>
      </c>
      <c r="BQ250" s="2">
        <v>1.0900000000000001</v>
      </c>
    </row>
    <row r="251" spans="1:69" x14ac:dyDescent="0.2">
      <c r="A251">
        <v>10</v>
      </c>
      <c r="B251">
        <v>50</v>
      </c>
      <c r="C251" t="s">
        <v>25</v>
      </c>
      <c r="D251" t="s">
        <v>7</v>
      </c>
      <c r="E251">
        <v>2</v>
      </c>
      <c r="F251" s="2">
        <v>333.97271773347296</v>
      </c>
      <c r="G251" s="2">
        <v>378.2433275563252</v>
      </c>
      <c r="H251" s="2">
        <v>529.58530954879302</v>
      </c>
      <c r="I251" s="2">
        <v>505.63778162911586</v>
      </c>
      <c r="J251" s="2">
        <v>863.55802728226604</v>
      </c>
      <c r="K251" s="2">
        <v>883.88110918544112</v>
      </c>
      <c r="L251" s="2">
        <v>44.270609822852236</v>
      </c>
      <c r="M251" s="2">
        <v>20.32308190317508</v>
      </c>
      <c r="N251" s="2">
        <v>2.1139000000000001</v>
      </c>
      <c r="O251" s="2">
        <v>38.195</v>
      </c>
      <c r="P251" s="2">
        <v>1.3053435114503815</v>
      </c>
      <c r="Q251" s="2">
        <v>10.697577092511013</v>
      </c>
      <c r="R251" s="2">
        <v>9.4794</v>
      </c>
      <c r="S251" s="2">
        <v>22.775572519083969</v>
      </c>
      <c r="T251" s="2">
        <v>58.18766519823788</v>
      </c>
      <c r="U251" s="2">
        <v>60.0764</v>
      </c>
      <c r="V251" s="2">
        <v>45.474883969465651</v>
      </c>
      <c r="W251" s="2">
        <v>44.804326260214538</v>
      </c>
      <c r="X251" s="2">
        <v>24.08091603053435</v>
      </c>
      <c r="Y251" s="2">
        <v>98.5</v>
      </c>
      <c r="Z251" s="2">
        <v>19.350000000000001</v>
      </c>
      <c r="AA251" s="2">
        <v>14.9</v>
      </c>
      <c r="AB251" s="2">
        <v>47.92</v>
      </c>
      <c r="AC251" s="2">
        <v>15.42</v>
      </c>
      <c r="AD251" s="2">
        <v>6.07</v>
      </c>
      <c r="AE251" s="2">
        <v>17.63</v>
      </c>
      <c r="AF251" s="2">
        <v>23.7</v>
      </c>
      <c r="AG251" s="2">
        <v>49.9</v>
      </c>
      <c r="AH251" s="2">
        <v>-26.2</v>
      </c>
      <c r="AI251" s="2">
        <v>63.43</v>
      </c>
      <c r="AJ251" s="2">
        <v>11.37</v>
      </c>
      <c r="AK251" s="2">
        <v>0.73799999999999999</v>
      </c>
      <c r="AL251" s="2">
        <v>0.39</v>
      </c>
      <c r="AM251" s="2">
        <v>0.69199999999999995</v>
      </c>
      <c r="AN251" s="2">
        <v>0.52900000000000003</v>
      </c>
      <c r="AO251" s="2">
        <v>0.28799999999999998</v>
      </c>
      <c r="AP251" s="2">
        <v>0.314</v>
      </c>
      <c r="AQ251" s="2">
        <v>1.2470000000000001</v>
      </c>
      <c r="AR251" s="2">
        <v>1.4770000000000001</v>
      </c>
      <c r="AS251" s="2">
        <v>26.05</v>
      </c>
      <c r="AT251" s="2">
        <v>153.30000000000001</v>
      </c>
      <c r="AU251" s="2">
        <v>1.331</v>
      </c>
      <c r="AV251" s="2">
        <v>0.05</v>
      </c>
      <c r="AW251" s="2">
        <v>6.0999999999999999E-2</v>
      </c>
      <c r="AX251" s="2">
        <v>0.26700000000000002</v>
      </c>
      <c r="AY251" s="2">
        <v>0.67200000000000004</v>
      </c>
      <c r="AZ251" s="2">
        <v>2.2200000000000002</v>
      </c>
      <c r="BA251" s="2">
        <v>1.1100000000000001</v>
      </c>
      <c r="BB251" s="2">
        <v>11.5</v>
      </c>
      <c r="BC251" s="2">
        <v>89</v>
      </c>
      <c r="BD251" s="2">
        <v>1.2</v>
      </c>
      <c r="BE251" s="2">
        <v>6.2</v>
      </c>
      <c r="BF251" s="2">
        <v>376</v>
      </c>
      <c r="BG251" s="2">
        <v>116</v>
      </c>
      <c r="BH251" s="2">
        <v>1567</v>
      </c>
      <c r="BI251" s="2">
        <v>259</v>
      </c>
      <c r="BJ251" s="2">
        <v>15</v>
      </c>
      <c r="BK251" s="2">
        <v>15.2</v>
      </c>
      <c r="BL251" s="2">
        <v>22.1</v>
      </c>
      <c r="BM251" s="2">
        <v>7.6</v>
      </c>
      <c r="BN251" s="2">
        <v>0.1</v>
      </c>
      <c r="BO251" s="2">
        <v>0.3</v>
      </c>
      <c r="BP251" s="2">
        <v>7.84</v>
      </c>
      <c r="BQ251" s="2">
        <v>2.13</v>
      </c>
    </row>
    <row r="252" spans="1:69" x14ac:dyDescent="0.2">
      <c r="A252">
        <v>10</v>
      </c>
      <c r="B252">
        <v>56</v>
      </c>
      <c r="C252" t="s">
        <v>25</v>
      </c>
      <c r="D252" t="s">
        <v>5</v>
      </c>
      <c r="E252">
        <v>2</v>
      </c>
      <c r="F252" s="2">
        <v>240.44481203007533</v>
      </c>
      <c r="G252" s="2">
        <v>159.44850498338863</v>
      </c>
      <c r="H252" s="2">
        <v>1013.0589473684211</v>
      </c>
      <c r="I252" s="2">
        <v>1016.274418604651</v>
      </c>
      <c r="J252" s="2">
        <v>1253.5037593984964</v>
      </c>
      <c r="K252" s="2">
        <v>1175.7229235880397</v>
      </c>
      <c r="L252" s="2">
        <v>-80.996307046686695</v>
      </c>
      <c r="M252" s="2">
        <v>-77.780835810456665</v>
      </c>
      <c r="N252" s="2">
        <v>3.6625999999999999</v>
      </c>
      <c r="O252" s="2">
        <v>103.08</v>
      </c>
      <c r="P252" s="2">
        <v>1.4003999999999999</v>
      </c>
      <c r="Q252" s="2">
        <v>2.6169440242057487</v>
      </c>
      <c r="R252" s="2">
        <v>1.0745999999999998</v>
      </c>
      <c r="S252" s="2">
        <v>24.090399999999999</v>
      </c>
      <c r="T252" s="2">
        <v>72.96883509833583</v>
      </c>
      <c r="U252" s="2">
        <v>66.220400000000012</v>
      </c>
      <c r="V252" s="2">
        <v>41.804200000000016</v>
      </c>
      <c r="W252" s="2">
        <v>50.094979122541581</v>
      </c>
      <c r="X252" s="2">
        <v>25.4908</v>
      </c>
      <c r="Y252" s="2">
        <v>82.02</v>
      </c>
      <c r="Z252" s="2">
        <v>26.03</v>
      </c>
      <c r="AA252" s="2">
        <v>15.29</v>
      </c>
      <c r="AB252" s="2">
        <v>31.32</v>
      </c>
      <c r="AC252" s="2">
        <v>8.5299999999999994</v>
      </c>
      <c r="AD252" s="2">
        <v>14.5</v>
      </c>
      <c r="AE252" s="2">
        <v>18.440000000000001</v>
      </c>
      <c r="AF252" s="2">
        <v>32.9</v>
      </c>
      <c r="AG252" s="2">
        <v>41.5</v>
      </c>
      <c r="AH252" s="2">
        <v>-8.6</v>
      </c>
      <c r="AI252" s="2">
        <v>41</v>
      </c>
      <c r="AJ252" s="2">
        <v>8.08</v>
      </c>
      <c r="AK252" s="2">
        <v>1.0900000000000001</v>
      </c>
      <c r="AL252" s="2">
        <v>0.72799999999999998</v>
      </c>
      <c r="AM252" s="2">
        <v>0.79700000000000004</v>
      </c>
      <c r="AN252" s="2">
        <v>0.66800000000000004</v>
      </c>
      <c r="AO252" s="2">
        <v>0.79300000000000004</v>
      </c>
      <c r="AP252" s="2">
        <v>0.55700000000000005</v>
      </c>
      <c r="AQ252" s="2">
        <v>1.038</v>
      </c>
      <c r="AR252" s="2">
        <v>1.9259999999999999</v>
      </c>
      <c r="AS252" s="2">
        <v>56.35</v>
      </c>
      <c r="AT252" s="2">
        <v>203.7</v>
      </c>
      <c r="AU252" s="2">
        <v>0.98399999999999999</v>
      </c>
      <c r="AV252" s="2">
        <v>1.29</v>
      </c>
      <c r="AW252" s="2">
        <v>0.09</v>
      </c>
      <c r="AX252" s="2">
        <v>0.23499999999999999</v>
      </c>
      <c r="AY252" s="2">
        <v>0.67600000000000005</v>
      </c>
      <c r="AZ252" s="2">
        <v>2.52</v>
      </c>
      <c r="BA252" s="2">
        <v>0.78</v>
      </c>
      <c r="BB252" s="2">
        <v>7.3</v>
      </c>
      <c r="BC252" s="2">
        <v>9</v>
      </c>
      <c r="BD252" s="2">
        <v>6.6</v>
      </c>
      <c r="BE252" s="2">
        <v>3.5</v>
      </c>
      <c r="BF252" s="2">
        <v>17</v>
      </c>
      <c r="BG252" s="2">
        <v>24</v>
      </c>
      <c r="BH252" s="2">
        <v>67</v>
      </c>
      <c r="BI252" s="2">
        <v>32</v>
      </c>
      <c r="BJ252" s="2">
        <v>17</v>
      </c>
      <c r="BK252" s="2">
        <v>0.6</v>
      </c>
      <c r="BL252" s="2">
        <v>3.5</v>
      </c>
      <c r="BM252" s="2">
        <v>0.9</v>
      </c>
      <c r="BN252" s="2">
        <v>0.1</v>
      </c>
      <c r="BO252" s="2">
        <v>0.06</v>
      </c>
      <c r="BP252" s="2">
        <v>0.34</v>
      </c>
      <c r="BQ252" s="2">
        <v>0.26</v>
      </c>
    </row>
    <row r="253" spans="1:69" x14ac:dyDescent="0.2">
      <c r="A253">
        <v>10</v>
      </c>
      <c r="B253">
        <v>65</v>
      </c>
      <c r="C253" t="s">
        <v>25</v>
      </c>
      <c r="D253" t="s">
        <v>7</v>
      </c>
      <c r="E253">
        <v>3</v>
      </c>
      <c r="F253" s="2">
        <v>197.58219395866416</v>
      </c>
      <c r="G253" s="2">
        <v>190.33587174348648</v>
      </c>
      <c r="H253" s="2">
        <v>454.19809220985684</v>
      </c>
      <c r="I253" s="2">
        <v>333.08777555110208</v>
      </c>
      <c r="J253" s="2">
        <v>651.780286168521</v>
      </c>
      <c r="K253" s="2">
        <v>523.42364729458859</v>
      </c>
      <c r="L253" s="2">
        <v>-7.2463222151776847</v>
      </c>
      <c r="M253" s="2">
        <v>-128.35663887393241</v>
      </c>
      <c r="N253" s="2">
        <v>0.89510000000000001</v>
      </c>
      <c r="O253" s="2">
        <v>12.486999999999998</v>
      </c>
      <c r="P253" s="2">
        <v>0.25519999999999998</v>
      </c>
      <c r="Q253" s="2">
        <v>0.88348348348348349</v>
      </c>
      <c r="R253" s="2">
        <v>0.19740000000000002</v>
      </c>
      <c r="S253" s="2">
        <v>19.9254</v>
      </c>
      <c r="T253" s="2">
        <v>49.078278278278283</v>
      </c>
      <c r="U253" s="2">
        <v>46.353200000000001</v>
      </c>
      <c r="V253" s="2">
        <v>26.370000000000005</v>
      </c>
      <c r="W253" s="2">
        <v>29.781161761761766</v>
      </c>
      <c r="X253" s="2">
        <v>20.180599999999998</v>
      </c>
      <c r="Y253" s="2">
        <v>103.97</v>
      </c>
      <c r="Z253" s="2">
        <v>5.87</v>
      </c>
      <c r="AA253" s="2">
        <v>41.24</v>
      </c>
      <c r="AB253" s="2">
        <v>47.49</v>
      </c>
      <c r="AC253" s="2">
        <v>8.6199999999999992</v>
      </c>
      <c r="AD253" s="2">
        <v>5.77</v>
      </c>
      <c r="AE253" s="2">
        <v>46.26</v>
      </c>
      <c r="AF253" s="2">
        <v>52</v>
      </c>
      <c r="AG253" s="2">
        <v>52.6</v>
      </c>
      <c r="AH253" s="2">
        <v>-0.6</v>
      </c>
      <c r="AI253" s="2">
        <v>45.35</v>
      </c>
      <c r="AJ253" s="2">
        <v>6.59</v>
      </c>
      <c r="AK253" s="2">
        <v>0.48199999999999998</v>
      </c>
      <c r="AL253" s="2">
        <v>0.50600000000000001</v>
      </c>
      <c r="AM253" s="2">
        <v>1.1040000000000001</v>
      </c>
      <c r="AN253" s="2">
        <v>1.0489999999999999</v>
      </c>
      <c r="AO253" s="2">
        <v>0.24399999999999999</v>
      </c>
      <c r="AP253" s="2">
        <v>0.98299999999999998</v>
      </c>
      <c r="AQ253" s="2">
        <v>1.3160000000000001</v>
      </c>
      <c r="AR253" s="2">
        <v>1.0780000000000001</v>
      </c>
      <c r="AS253" s="2">
        <v>14.26</v>
      </c>
      <c r="AT253" s="2">
        <v>124.5</v>
      </c>
      <c r="AU253" s="2">
        <v>1.3420000000000001</v>
      </c>
      <c r="AV253" s="2">
        <v>0.63</v>
      </c>
      <c r="AW253" s="2">
        <v>7.2999999999999995E-2</v>
      </c>
      <c r="AX253" s="2">
        <v>0.152</v>
      </c>
      <c r="AY253" s="2">
        <v>0.77500000000000002</v>
      </c>
      <c r="AZ253" s="2">
        <v>0.86</v>
      </c>
      <c r="BA253" s="2">
        <v>1.17</v>
      </c>
      <c r="BB253" s="2">
        <v>6.3</v>
      </c>
      <c r="BC253" s="2">
        <v>74</v>
      </c>
      <c r="BD253" s="2">
        <v>1.6</v>
      </c>
      <c r="BE253" s="2">
        <v>5.4</v>
      </c>
      <c r="BF253" s="2">
        <v>504</v>
      </c>
      <c r="BG253" s="2">
        <v>226</v>
      </c>
      <c r="BH253" s="2">
        <v>704</v>
      </c>
      <c r="BI253" s="2">
        <v>69</v>
      </c>
      <c r="BJ253" s="2">
        <v>13</v>
      </c>
      <c r="BK253" s="2">
        <v>22</v>
      </c>
      <c r="BL253" s="2">
        <v>18.8</v>
      </c>
      <c r="BM253" s="2">
        <v>8.4</v>
      </c>
      <c r="BN253" s="2">
        <v>0</v>
      </c>
      <c r="BO253" s="2">
        <v>0.57999999999999996</v>
      </c>
      <c r="BP253" s="2">
        <v>3.52</v>
      </c>
      <c r="BQ253" s="2">
        <v>0.56999999999999995</v>
      </c>
    </row>
    <row r="254" spans="1:69" x14ac:dyDescent="0.2">
      <c r="A254">
        <v>10</v>
      </c>
      <c r="B254">
        <v>76</v>
      </c>
      <c r="C254" t="s">
        <v>25</v>
      </c>
      <c r="D254" t="s">
        <v>7</v>
      </c>
      <c r="E254">
        <v>4</v>
      </c>
      <c r="F254" s="2">
        <v>212.82480461242795</v>
      </c>
      <c r="G254" s="2">
        <v>143.22995924661311</v>
      </c>
      <c r="H254" s="2">
        <v>489.3417040358741</v>
      </c>
      <c r="I254" s="2">
        <v>500.13631457208913</v>
      </c>
      <c r="J254" s="2">
        <v>702.16650864830206</v>
      </c>
      <c r="K254" s="2">
        <v>643.36627381870221</v>
      </c>
      <c r="L254" s="2">
        <v>-69.594845365814848</v>
      </c>
      <c r="M254" s="2">
        <v>-58.800234829599844</v>
      </c>
      <c r="N254" s="2">
        <v>1.1597999999999999</v>
      </c>
      <c r="O254" s="2">
        <v>16.225000000000001</v>
      </c>
      <c r="P254" s="2">
        <v>0.67259999999999998</v>
      </c>
      <c r="Q254" s="2">
        <v>2.9507507507507515</v>
      </c>
      <c r="R254" s="2">
        <v>1.3790419161676644</v>
      </c>
      <c r="S254" s="2">
        <v>25.377600000000001</v>
      </c>
      <c r="T254" s="2">
        <v>73.638038038038047</v>
      </c>
      <c r="U254" s="2">
        <v>60.958882235528947</v>
      </c>
      <c r="V254" s="2">
        <v>36.287724151696608</v>
      </c>
      <c r="W254" s="2">
        <v>50.5385887887888</v>
      </c>
      <c r="X254" s="2">
        <v>26.0502</v>
      </c>
      <c r="Y254" s="2">
        <v>105.04</v>
      </c>
      <c r="Z254" s="2">
        <v>32.47</v>
      </c>
      <c r="AA254" s="2">
        <v>26.96</v>
      </c>
      <c r="AB254" s="2">
        <v>38.24</v>
      </c>
      <c r="AC254" s="2">
        <v>6.73</v>
      </c>
      <c r="AD254" s="2">
        <v>8.73</v>
      </c>
      <c r="AE254" s="2">
        <v>33.75</v>
      </c>
      <c r="AF254" s="2">
        <v>42.5</v>
      </c>
      <c r="AG254" s="2">
        <v>53.2</v>
      </c>
      <c r="AH254" s="2">
        <v>-10.7</v>
      </c>
      <c r="AI254" s="2">
        <v>55.06</v>
      </c>
      <c r="AJ254" s="2">
        <v>7.5</v>
      </c>
      <c r="AK254" s="2">
        <v>1.1060000000000001</v>
      </c>
      <c r="AL254" s="2">
        <v>0.52200000000000002</v>
      </c>
      <c r="AM254" s="2">
        <v>0.71499999999999997</v>
      </c>
      <c r="AN254" s="2">
        <v>0.47099999999999997</v>
      </c>
      <c r="AO254" s="2">
        <v>0.57699999999999996</v>
      </c>
      <c r="AP254" s="2">
        <v>0.26900000000000002</v>
      </c>
      <c r="AQ254" s="2">
        <v>1.33</v>
      </c>
      <c r="AR254" s="2">
        <v>1.173</v>
      </c>
      <c r="AS254" s="2">
        <v>16.989999999999998</v>
      </c>
      <c r="AT254" s="2">
        <v>133.19999999999999</v>
      </c>
      <c r="AU254" s="2">
        <v>1.355</v>
      </c>
      <c r="AV254" s="2">
        <v>7.0000000000000007E-2</v>
      </c>
      <c r="AW254" s="2">
        <v>0.125</v>
      </c>
      <c r="AX254" s="2">
        <v>0.16500000000000001</v>
      </c>
      <c r="AY254" s="2">
        <v>0.71</v>
      </c>
      <c r="AZ254" s="2">
        <v>1.08</v>
      </c>
      <c r="BA254" s="2">
        <v>1.1499999999999999</v>
      </c>
      <c r="BB254" s="2">
        <v>6.2</v>
      </c>
      <c r="BC254" s="2">
        <v>65</v>
      </c>
      <c r="BD254" s="2">
        <v>2.2000000000000002</v>
      </c>
      <c r="BE254" s="2">
        <v>5.0999999999999996</v>
      </c>
      <c r="BF254" s="2">
        <v>562</v>
      </c>
      <c r="BG254" s="2">
        <v>302</v>
      </c>
      <c r="BH254" s="2">
        <v>548</v>
      </c>
      <c r="BI254" s="2">
        <v>70</v>
      </c>
      <c r="BJ254" s="2">
        <v>17</v>
      </c>
      <c r="BK254" s="2">
        <v>18.600000000000001</v>
      </c>
      <c r="BL254" s="2">
        <v>12.8</v>
      </c>
      <c r="BM254" s="2">
        <v>7.4</v>
      </c>
      <c r="BN254" s="2">
        <v>0</v>
      </c>
      <c r="BO254" s="2">
        <v>0.77</v>
      </c>
      <c r="BP254" s="2">
        <v>2.74</v>
      </c>
      <c r="BQ254" s="2">
        <v>0.57999999999999996</v>
      </c>
    </row>
    <row r="255" spans="1:69" x14ac:dyDescent="0.2">
      <c r="A255">
        <v>10</v>
      </c>
      <c r="B255">
        <v>83</v>
      </c>
      <c r="C255" t="s">
        <v>25</v>
      </c>
      <c r="D255" t="s">
        <v>0</v>
      </c>
      <c r="E255">
        <v>2</v>
      </c>
      <c r="F255" s="2">
        <v>186.82920147924929</v>
      </c>
      <c r="G255" s="2">
        <v>340.67044807590941</v>
      </c>
      <c r="H255" s="2">
        <v>435.93480345158201</v>
      </c>
      <c r="I255" s="2">
        <v>747.17402214022138</v>
      </c>
      <c r="J255" s="2">
        <v>622.76400493083133</v>
      </c>
      <c r="K255" s="2">
        <v>1087.8444702161307</v>
      </c>
      <c r="L255" s="2">
        <v>153.84124659666011</v>
      </c>
      <c r="M255" s="2">
        <v>465.0804652852994</v>
      </c>
      <c r="N255" s="2">
        <v>1.8093999999999999</v>
      </c>
      <c r="O255" s="2">
        <v>24.272999999999996</v>
      </c>
      <c r="P255" s="2">
        <v>0.40500000000000003</v>
      </c>
      <c r="Q255" s="2">
        <v>3.4409871244635184</v>
      </c>
      <c r="R255" s="2">
        <v>7.3122000000000007</v>
      </c>
      <c r="S255" s="2">
        <v>21.7834</v>
      </c>
      <c r="T255" s="2">
        <v>76.535622317596577</v>
      </c>
      <c r="U255" s="2">
        <v>48.983600000000003</v>
      </c>
      <c r="V255" s="2">
        <v>34.107399999999998</v>
      </c>
      <c r="W255" s="2">
        <v>57.788209442060094</v>
      </c>
      <c r="X255" s="2">
        <v>22.188400000000001</v>
      </c>
      <c r="Y255" s="2">
        <v>100.25</v>
      </c>
      <c r="Z255" s="2">
        <v>20.76</v>
      </c>
      <c r="AA255" s="2">
        <v>21.5</v>
      </c>
      <c r="AB255" s="2">
        <v>48.96</v>
      </c>
      <c r="AC255" s="2">
        <v>8.5</v>
      </c>
      <c r="AD255" s="2">
        <v>16.559999999999999</v>
      </c>
      <c r="AE255" s="2">
        <v>22.35</v>
      </c>
      <c r="AF255" s="2">
        <v>38.9</v>
      </c>
      <c r="AG255" s="2">
        <v>50.8</v>
      </c>
      <c r="AH255" s="2">
        <v>-11.8</v>
      </c>
      <c r="AI255" s="2">
        <v>54.24</v>
      </c>
      <c r="AJ255" s="2">
        <v>7.1</v>
      </c>
      <c r="AK255" s="2">
        <v>0.80600000000000005</v>
      </c>
      <c r="AL255" s="2">
        <v>0.69899999999999995</v>
      </c>
      <c r="AM255" s="2">
        <v>0.92100000000000004</v>
      </c>
      <c r="AN255" s="2">
        <v>0.86699999999999999</v>
      </c>
      <c r="AO255" s="2">
        <v>0.56299999999999994</v>
      </c>
      <c r="AP255" s="2">
        <v>0.79800000000000004</v>
      </c>
      <c r="AQ255" s="2">
        <v>1.2689999999999999</v>
      </c>
      <c r="AR255" s="2">
        <v>1.286</v>
      </c>
      <c r="AS255" s="2">
        <v>17.66</v>
      </c>
      <c r="AT255" s="2">
        <v>171.8</v>
      </c>
      <c r="AU255" s="2">
        <v>1.3480000000000001</v>
      </c>
      <c r="AV255" s="2">
        <v>0.13</v>
      </c>
      <c r="AW255" s="2">
        <v>5.2999999999999999E-2</v>
      </c>
      <c r="AX255" s="2">
        <v>0.189</v>
      </c>
      <c r="AY255" s="2">
        <v>0.75800000000000001</v>
      </c>
      <c r="AZ255" s="2">
        <v>0.97</v>
      </c>
      <c r="BA255" s="2">
        <v>1.1200000000000001</v>
      </c>
      <c r="BB255" s="2">
        <v>6.5</v>
      </c>
      <c r="BC255" s="2">
        <v>79</v>
      </c>
      <c r="BD255" s="2">
        <v>1.4</v>
      </c>
      <c r="BE255" s="2">
        <v>5.7</v>
      </c>
      <c r="BF255" s="2">
        <v>235</v>
      </c>
      <c r="BG255" s="2">
        <v>104</v>
      </c>
      <c r="BH255" s="2">
        <v>766</v>
      </c>
      <c r="BI255" s="2">
        <v>125</v>
      </c>
      <c r="BJ255" s="2">
        <v>23</v>
      </c>
      <c r="BK255" s="2">
        <v>9.9</v>
      </c>
      <c r="BL255" s="2">
        <v>12.9</v>
      </c>
      <c r="BM255" s="2">
        <v>5.7</v>
      </c>
      <c r="BN255" s="2">
        <v>0</v>
      </c>
      <c r="BO255" s="2">
        <v>0.27</v>
      </c>
      <c r="BP255" s="2">
        <v>3.83</v>
      </c>
      <c r="BQ255" s="2">
        <v>1.03</v>
      </c>
    </row>
    <row r="256" spans="1:69" x14ac:dyDescent="0.2">
      <c r="A256">
        <v>10</v>
      </c>
      <c r="B256">
        <v>139</v>
      </c>
      <c r="C256" t="s">
        <v>25</v>
      </c>
      <c r="D256" t="s">
        <v>7</v>
      </c>
      <c r="E256">
        <v>1</v>
      </c>
      <c r="F256" s="2">
        <v>151.96705461056365</v>
      </c>
      <c r="G256" s="2">
        <v>234.38275092936783</v>
      </c>
      <c r="H256" s="2">
        <v>424.69364368845106</v>
      </c>
      <c r="I256" s="2">
        <v>375.23776951672841</v>
      </c>
      <c r="J256" s="2">
        <v>576.66069829901471</v>
      </c>
      <c r="K256" s="2">
        <v>609.62052044609618</v>
      </c>
      <c r="L256" s="2">
        <v>82.41569631880418</v>
      </c>
      <c r="M256" s="2">
        <v>32.959822147081468</v>
      </c>
      <c r="N256" s="2">
        <v>1.5518999999999998</v>
      </c>
      <c r="O256" s="2">
        <v>23.178000000000001</v>
      </c>
      <c r="P256" s="2">
        <v>0.65359999999999996</v>
      </c>
      <c r="Q256" s="2">
        <v>5.0269461077844326</v>
      </c>
      <c r="R256" s="2">
        <v>4.2900900900900902</v>
      </c>
      <c r="S256" s="2">
        <v>15.440999999999999</v>
      </c>
      <c r="T256" s="2">
        <v>46.98163672654691</v>
      </c>
      <c r="U256" s="2">
        <v>43.45785785785786</v>
      </c>
      <c r="V256" s="2">
        <v>31.65334794794795</v>
      </c>
      <c r="W256" s="2">
        <v>35.913982834331343</v>
      </c>
      <c r="X256" s="2">
        <v>16.0946</v>
      </c>
      <c r="Y256" s="2">
        <v>103.6</v>
      </c>
      <c r="Z256" s="2">
        <v>20.87</v>
      </c>
      <c r="AA256" s="2">
        <v>20.43</v>
      </c>
      <c r="AB256" s="2">
        <v>52.1</v>
      </c>
      <c r="AC256" s="2">
        <v>9.6999999999999993</v>
      </c>
      <c r="AD256" s="2">
        <v>11.84</v>
      </c>
      <c r="AE256" s="2">
        <v>25.34</v>
      </c>
      <c r="AF256" s="2">
        <v>37.200000000000003</v>
      </c>
      <c r="AG256" s="2">
        <v>52.5</v>
      </c>
      <c r="AH256" s="2">
        <v>-15.3</v>
      </c>
      <c r="AI256" s="2">
        <v>57.19</v>
      </c>
      <c r="AJ256" s="2">
        <v>9.23</v>
      </c>
      <c r="AK256" s="2">
        <v>0.78200000000000003</v>
      </c>
      <c r="AL256" s="2">
        <v>0.56799999999999995</v>
      </c>
      <c r="AM256" s="2">
        <v>0.9</v>
      </c>
      <c r="AN256" s="2">
        <v>0.72699999999999998</v>
      </c>
      <c r="AO256" s="2">
        <v>0.44400000000000001</v>
      </c>
      <c r="AP256" s="2">
        <v>0.56699999999999995</v>
      </c>
      <c r="AQ256" s="2">
        <v>1.3109999999999999</v>
      </c>
      <c r="AR256" s="2">
        <v>1.1100000000000001</v>
      </c>
      <c r="AS256" s="2">
        <v>18.95</v>
      </c>
      <c r="AT256" s="2">
        <v>149.30000000000001</v>
      </c>
      <c r="AU256" s="2">
        <v>1.353</v>
      </c>
      <c r="AV256" s="2">
        <v>0.01</v>
      </c>
      <c r="AW256" s="2">
        <v>6.6000000000000003E-2</v>
      </c>
      <c r="AX256" s="2">
        <v>0.224</v>
      </c>
      <c r="AY256" s="2">
        <v>0.71</v>
      </c>
      <c r="AZ256" s="2">
        <v>2.0099999999999998</v>
      </c>
      <c r="BA256" s="2">
        <v>1.22</v>
      </c>
      <c r="BB256" s="2">
        <v>9.4</v>
      </c>
      <c r="BC256" s="2">
        <v>86</v>
      </c>
      <c r="BD256" s="2">
        <v>1.3</v>
      </c>
      <c r="BE256" s="2">
        <v>6.1</v>
      </c>
      <c r="BF256" s="2">
        <v>470</v>
      </c>
      <c r="BG256" s="2">
        <v>214</v>
      </c>
      <c r="BH256" s="2">
        <v>1215</v>
      </c>
      <c r="BI256" s="2">
        <v>182</v>
      </c>
      <c r="BJ256" s="2">
        <v>15</v>
      </c>
      <c r="BK256" s="2">
        <v>15.1</v>
      </c>
      <c r="BL256" s="2">
        <v>15.9</v>
      </c>
      <c r="BM256" s="2">
        <v>7.8</v>
      </c>
      <c r="BN256" s="2">
        <v>0.1</v>
      </c>
      <c r="BO256" s="2">
        <v>0.55000000000000004</v>
      </c>
      <c r="BP256" s="2">
        <v>6.08</v>
      </c>
      <c r="BQ256" s="2">
        <v>1.5</v>
      </c>
    </row>
    <row r="257" spans="1:69" x14ac:dyDescent="0.2">
      <c r="A257">
        <v>10</v>
      </c>
      <c r="B257">
        <v>186</v>
      </c>
      <c r="C257" t="s">
        <v>25</v>
      </c>
      <c r="D257" t="s">
        <v>0</v>
      </c>
      <c r="E257">
        <v>4</v>
      </c>
      <c r="F257" s="2">
        <v>190.37716150081559</v>
      </c>
      <c r="G257" s="2">
        <v>193.97810331534311</v>
      </c>
      <c r="H257" s="2">
        <v>330.06949429037542</v>
      </c>
      <c r="I257" s="2">
        <v>569.08033924441031</v>
      </c>
      <c r="J257" s="2">
        <v>520.44665579119101</v>
      </c>
      <c r="K257" s="2">
        <v>763.05844255975342</v>
      </c>
      <c r="L257" s="2">
        <v>3.6009418145275163</v>
      </c>
      <c r="M257" s="2">
        <v>242.61178676856241</v>
      </c>
      <c r="N257" s="2">
        <v>1.3027</v>
      </c>
      <c r="O257" s="2">
        <v>19.678000000000001</v>
      </c>
      <c r="P257" s="2">
        <v>0.54320000000000002</v>
      </c>
      <c r="Q257" s="2">
        <v>5.313113113113114</v>
      </c>
      <c r="R257" s="2">
        <v>3.9802395209580843</v>
      </c>
      <c r="S257" s="2">
        <v>22.785799999999998</v>
      </c>
      <c r="T257" s="2">
        <v>78.709709709709713</v>
      </c>
      <c r="U257" s="2">
        <v>66.120558882235542</v>
      </c>
      <c r="V257" s="2">
        <v>46.771798403193628</v>
      </c>
      <c r="W257" s="2">
        <v>60.693822822822838</v>
      </c>
      <c r="X257" s="2">
        <v>23.328999999999997</v>
      </c>
      <c r="Y257" s="2">
        <v>103.13</v>
      </c>
      <c r="Z257" s="2">
        <v>25.24</v>
      </c>
      <c r="AA257" s="2">
        <v>31.23</v>
      </c>
      <c r="AB257" s="2">
        <v>41.62</v>
      </c>
      <c r="AC257" s="2">
        <v>4.66</v>
      </c>
      <c r="AD257" s="2">
        <v>18.97</v>
      </c>
      <c r="AE257" s="2">
        <v>37.22</v>
      </c>
      <c r="AF257" s="2">
        <v>56.2</v>
      </c>
      <c r="AG257" s="2">
        <v>52.2</v>
      </c>
      <c r="AH257" s="2">
        <v>4</v>
      </c>
      <c r="AI257" s="2">
        <v>42.24</v>
      </c>
      <c r="AJ257" s="2">
        <v>4.7</v>
      </c>
      <c r="AK257" s="2">
        <v>0.95599999999999996</v>
      </c>
      <c r="AL257" s="2">
        <v>0.81799999999999995</v>
      </c>
      <c r="AM257" s="2">
        <v>0.995</v>
      </c>
      <c r="AN257" s="2">
        <v>0.85599999999999998</v>
      </c>
      <c r="AO257" s="2">
        <v>0.78200000000000003</v>
      </c>
      <c r="AP257" s="2">
        <v>0.752</v>
      </c>
      <c r="AQ257" s="2">
        <v>1.3049999999999999</v>
      </c>
      <c r="AR257" s="2">
        <v>1.1000000000000001</v>
      </c>
      <c r="AS257" s="2">
        <v>18.18</v>
      </c>
      <c r="AT257" s="2">
        <v>148.9</v>
      </c>
      <c r="AU257" s="2">
        <v>1.3979999999999999</v>
      </c>
      <c r="AV257" s="2">
        <v>1.3</v>
      </c>
      <c r="AW257" s="2">
        <v>9.1999999999999998E-2</v>
      </c>
      <c r="AX257" s="2">
        <v>0.13300000000000001</v>
      </c>
      <c r="AY257" s="2">
        <v>0.77500000000000002</v>
      </c>
      <c r="AZ257" s="2">
        <v>1.02</v>
      </c>
      <c r="BA257" s="2">
        <v>1.17</v>
      </c>
      <c r="BB257" s="2">
        <v>6.9</v>
      </c>
      <c r="BC257" s="2">
        <v>75</v>
      </c>
      <c r="BD257" s="2">
        <v>1.7</v>
      </c>
      <c r="BE257" s="2">
        <v>5.8</v>
      </c>
      <c r="BF257" s="2">
        <v>299</v>
      </c>
      <c r="BG257" s="2">
        <v>153</v>
      </c>
      <c r="BH257" s="2">
        <v>646</v>
      </c>
      <c r="BI257" s="2">
        <v>189</v>
      </c>
      <c r="BJ257" s="2">
        <v>17</v>
      </c>
      <c r="BK257" s="2">
        <v>10.3</v>
      </c>
      <c r="BL257" s="2">
        <v>4.8</v>
      </c>
      <c r="BM257" s="2">
        <v>3.8</v>
      </c>
      <c r="BN257" s="2">
        <v>0</v>
      </c>
      <c r="BO257" s="2">
        <v>0.39</v>
      </c>
      <c r="BP257" s="2">
        <v>3.23</v>
      </c>
      <c r="BQ257" s="2">
        <v>1.55</v>
      </c>
    </row>
    <row r="258" spans="1:69" x14ac:dyDescent="0.2">
      <c r="A258">
        <v>10</v>
      </c>
      <c r="B258">
        <v>205</v>
      </c>
      <c r="C258" t="s">
        <v>25</v>
      </c>
      <c r="D258" t="s">
        <v>0</v>
      </c>
      <c r="E258">
        <v>1</v>
      </c>
      <c r="F258" s="2">
        <v>323.96654275092897</v>
      </c>
      <c r="G258" s="2">
        <v>378.03029839326672</v>
      </c>
      <c r="H258" s="2">
        <v>598.63382899628255</v>
      </c>
      <c r="I258" s="2">
        <v>546.17260902830878</v>
      </c>
      <c r="J258" s="2">
        <v>922.60037174721151</v>
      </c>
      <c r="K258" s="2">
        <v>924.20290742157545</v>
      </c>
      <c r="L258" s="2">
        <v>54.063755642337753</v>
      </c>
      <c r="M258" s="2">
        <v>1.602535674363935</v>
      </c>
      <c r="N258" s="2">
        <v>1.7688999999999999</v>
      </c>
      <c r="O258" s="2">
        <v>29.302999999999997</v>
      </c>
      <c r="P258" s="2">
        <v>0.50359999999999994</v>
      </c>
      <c r="Q258" s="2">
        <v>2.3022</v>
      </c>
      <c r="R258" s="2">
        <v>2.2997999999999998</v>
      </c>
      <c r="S258" s="2">
        <v>24.3126</v>
      </c>
      <c r="T258" s="2">
        <v>59.175199999999997</v>
      </c>
      <c r="U258" s="2">
        <v>62.923999999999999</v>
      </c>
      <c r="V258" s="2">
        <v>40.407600000000002</v>
      </c>
      <c r="W258" s="2">
        <v>36.661199999999994</v>
      </c>
      <c r="X258" s="2">
        <v>24.816199999999998</v>
      </c>
      <c r="Y258" s="2">
        <v>96.73</v>
      </c>
      <c r="Z258" s="2">
        <v>22.84</v>
      </c>
      <c r="AA258" s="2">
        <v>20.079999999999998</v>
      </c>
      <c r="AB258" s="2">
        <v>44.41</v>
      </c>
      <c r="AC258" s="2">
        <v>8.8699999999999992</v>
      </c>
      <c r="AD258" s="2">
        <v>19.78</v>
      </c>
      <c r="AE258" s="2">
        <v>21.7</v>
      </c>
      <c r="AF258" s="2">
        <v>41.5</v>
      </c>
      <c r="AG258" s="2">
        <v>49</v>
      </c>
      <c r="AH258" s="2">
        <v>-7.5</v>
      </c>
      <c r="AI258" s="2">
        <v>48.39</v>
      </c>
      <c r="AJ258" s="2">
        <v>6.86</v>
      </c>
      <c r="AK258" s="2">
        <v>0.88100000000000001</v>
      </c>
      <c r="AL258" s="2">
        <v>0.80600000000000005</v>
      </c>
      <c r="AM258" s="2">
        <v>0.96599999999999997</v>
      </c>
      <c r="AN258" s="2">
        <v>0.91500000000000004</v>
      </c>
      <c r="AO258" s="2">
        <v>0.71</v>
      </c>
      <c r="AP258" s="2">
        <v>0.86599999999999999</v>
      </c>
      <c r="AQ258" s="2">
        <v>1.224</v>
      </c>
      <c r="AR258" s="2">
        <v>1.407</v>
      </c>
      <c r="AS258" s="2">
        <v>23.92</v>
      </c>
      <c r="AT258" s="2">
        <v>218.6</v>
      </c>
      <c r="AU258" s="2">
        <v>1.3069999999999999</v>
      </c>
      <c r="AV258" s="2">
        <v>0.12</v>
      </c>
      <c r="AW258" s="2">
        <v>5.7000000000000002E-2</v>
      </c>
      <c r="AX258" s="2">
        <v>0.23499999999999999</v>
      </c>
      <c r="AY258" s="2">
        <v>0.70799999999999996</v>
      </c>
      <c r="AZ258" s="2">
        <v>2.37</v>
      </c>
      <c r="BA258" s="2">
        <v>1.03</v>
      </c>
      <c r="BB258" s="2">
        <v>10.4</v>
      </c>
      <c r="BC258" s="2">
        <v>85</v>
      </c>
      <c r="BD258" s="2">
        <v>1.5</v>
      </c>
      <c r="BE258" s="2">
        <v>5.9</v>
      </c>
      <c r="BF258" s="2">
        <v>363</v>
      </c>
      <c r="BG258" s="2">
        <v>117</v>
      </c>
      <c r="BH258" s="2">
        <v>1377</v>
      </c>
      <c r="BI258" s="2">
        <v>211</v>
      </c>
      <c r="BJ258" s="2">
        <v>17</v>
      </c>
      <c r="BK258" s="2">
        <v>14.3</v>
      </c>
      <c r="BL258" s="2">
        <v>13.4</v>
      </c>
      <c r="BM258" s="2">
        <v>5.9</v>
      </c>
      <c r="BN258" s="2">
        <v>0.1</v>
      </c>
      <c r="BO258" s="2">
        <v>0.3</v>
      </c>
      <c r="BP258" s="2">
        <v>6.89</v>
      </c>
      <c r="BQ258" s="2">
        <v>1.74</v>
      </c>
    </row>
    <row r="259" spans="1:69" x14ac:dyDescent="0.2">
      <c r="A259">
        <v>10</v>
      </c>
      <c r="B259">
        <v>226</v>
      </c>
      <c r="C259" t="s">
        <v>25</v>
      </c>
      <c r="D259" t="s">
        <v>5</v>
      </c>
      <c r="E259">
        <v>1</v>
      </c>
      <c r="F259" s="2">
        <v>167.94740541658038</v>
      </c>
      <c r="G259" s="2">
        <v>155.31237918707788</v>
      </c>
      <c r="H259" s="2">
        <v>877.33719247467434</v>
      </c>
      <c r="I259" s="2">
        <v>887.72863762743259</v>
      </c>
      <c r="J259" s="2">
        <v>1045.2845978912546</v>
      </c>
      <c r="K259" s="2">
        <v>1043.0410168145104</v>
      </c>
      <c r="L259" s="2">
        <v>-12.6350262295025</v>
      </c>
      <c r="M259" s="2">
        <v>-2.243581076744249</v>
      </c>
      <c r="N259" s="2">
        <v>4.1307999999999998</v>
      </c>
      <c r="O259" s="2">
        <v>93.768000000000001</v>
      </c>
      <c r="P259" s="2">
        <v>1.0491999999999999</v>
      </c>
      <c r="Q259" s="2">
        <v>2.3281493001555207</v>
      </c>
      <c r="R259" s="2">
        <v>1.3898203592814371</v>
      </c>
      <c r="S259" s="2">
        <v>31.721800000000002</v>
      </c>
      <c r="T259" s="2">
        <v>63.351166407465008</v>
      </c>
      <c r="U259" s="2">
        <v>73.170858283433148</v>
      </c>
      <c r="V259" s="2">
        <v>41.789678642714591</v>
      </c>
      <c r="W259" s="2">
        <v>32.908315707620531</v>
      </c>
      <c r="X259" s="2">
        <v>32.771000000000001</v>
      </c>
      <c r="Y259" s="2">
        <v>78.680000000000007</v>
      </c>
      <c r="Z259" s="2">
        <v>22.68</v>
      </c>
      <c r="AA259" s="2">
        <v>15.13</v>
      </c>
      <c r="AB259" s="2">
        <v>34.229999999999997</v>
      </c>
      <c r="AC259" s="2">
        <v>6.28</v>
      </c>
      <c r="AD259" s="2">
        <v>13.15</v>
      </c>
      <c r="AE259" s="2">
        <v>19.62</v>
      </c>
      <c r="AF259" s="2">
        <v>32.799999999999997</v>
      </c>
      <c r="AG259" s="2">
        <v>39.799999999999997</v>
      </c>
      <c r="AH259" s="2">
        <v>-7.1</v>
      </c>
      <c r="AI259" s="2">
        <v>40.46</v>
      </c>
      <c r="AJ259" s="2">
        <v>5.45</v>
      </c>
      <c r="AK259" s="2">
        <v>1.0169999999999999</v>
      </c>
      <c r="AL259" s="2">
        <v>0.71699999999999997</v>
      </c>
      <c r="AM259" s="2">
        <v>0.86699999999999999</v>
      </c>
      <c r="AN259" s="2">
        <v>0.70399999999999996</v>
      </c>
      <c r="AO259" s="2">
        <v>0.72899999999999998</v>
      </c>
      <c r="AP259" s="2">
        <v>0.57999999999999996</v>
      </c>
      <c r="AQ259" s="2">
        <v>0.996</v>
      </c>
      <c r="AR259" s="2">
        <v>2.4889999999999999</v>
      </c>
      <c r="AS259" s="2">
        <v>61.27</v>
      </c>
      <c r="AT259" s="2">
        <v>224.6</v>
      </c>
      <c r="AU259" s="2">
        <v>0.90500000000000003</v>
      </c>
      <c r="AV259" s="2">
        <v>0.21</v>
      </c>
      <c r="AW259" s="2">
        <v>0.11600000000000001</v>
      </c>
      <c r="AX259" s="2">
        <v>0.30299999999999999</v>
      </c>
      <c r="AY259" s="2">
        <v>0.58099999999999996</v>
      </c>
      <c r="AZ259" s="2">
        <v>2.68</v>
      </c>
      <c r="BA259" s="2">
        <v>0.77</v>
      </c>
      <c r="BB259" s="2">
        <v>7.3</v>
      </c>
      <c r="BC259" s="2">
        <v>11</v>
      </c>
      <c r="BD259" s="2">
        <v>6.5</v>
      </c>
      <c r="BE259" s="2">
        <v>3.6</v>
      </c>
      <c r="BF259" s="2">
        <v>28</v>
      </c>
      <c r="BG259" s="2">
        <v>27</v>
      </c>
      <c r="BH259" s="2">
        <v>110</v>
      </c>
      <c r="BI259" s="2">
        <v>24</v>
      </c>
      <c r="BJ259" s="2">
        <v>31</v>
      </c>
      <c r="BK259" s="2">
        <v>1.5</v>
      </c>
      <c r="BL259" s="2">
        <v>0.7</v>
      </c>
      <c r="BM259" s="2">
        <v>0.3</v>
      </c>
      <c r="BN259" s="2">
        <v>0</v>
      </c>
      <c r="BO259" s="2">
        <v>7.0000000000000007E-2</v>
      </c>
      <c r="BP259" s="2">
        <v>0.55000000000000004</v>
      </c>
      <c r="BQ259" s="2">
        <v>0.2</v>
      </c>
    </row>
    <row r="260" spans="1:69" x14ac:dyDescent="0.2">
      <c r="A260">
        <v>20</v>
      </c>
      <c r="B260">
        <v>72</v>
      </c>
      <c r="C260" t="s">
        <v>8</v>
      </c>
      <c r="D260" t="s">
        <v>7</v>
      </c>
      <c r="E260">
        <v>1</v>
      </c>
      <c r="F260" s="2">
        <v>68.842767295597525</v>
      </c>
      <c r="G260" s="2">
        <v>195.45792811839326</v>
      </c>
      <c r="H260" s="2">
        <v>225.59245283018865</v>
      </c>
      <c r="I260" s="2">
        <v>327.89936575052855</v>
      </c>
      <c r="J260" s="2">
        <v>294.43522012578615</v>
      </c>
      <c r="K260" s="2">
        <v>523.35729386892183</v>
      </c>
      <c r="L260" s="2">
        <v>126.61516082279573</v>
      </c>
      <c r="M260" s="2">
        <v>228.92207374313568</v>
      </c>
      <c r="N260" s="2">
        <v>0.33179999999999998</v>
      </c>
      <c r="O260" s="2">
        <v>6.6674999999999995</v>
      </c>
      <c r="P260" s="2">
        <v>0.307</v>
      </c>
      <c r="Q260" s="2">
        <v>11.1858</v>
      </c>
      <c r="R260" s="2">
        <v>10.699399999999999</v>
      </c>
      <c r="S260" s="2">
        <v>5.9515999999999991</v>
      </c>
      <c r="T260" s="2">
        <v>20.905999999999999</v>
      </c>
      <c r="U260" s="2">
        <v>13.052200000000001</v>
      </c>
      <c r="V260" s="2">
        <v>17.493000000000002</v>
      </c>
      <c r="W260" s="2">
        <v>25.833199999999998</v>
      </c>
      <c r="X260" s="2">
        <v>6.2585999999999995</v>
      </c>
      <c r="Y260" s="2">
        <v>117</v>
      </c>
      <c r="Z260" s="2">
        <v>23.75</v>
      </c>
      <c r="AA260" s="2">
        <v>52.45</v>
      </c>
      <c r="AB260" s="2">
        <v>36.99</v>
      </c>
      <c r="AC260" s="2">
        <v>3.22</v>
      </c>
      <c r="AD260" s="2">
        <v>16.11</v>
      </c>
      <c r="AE260" s="2">
        <v>65.709999999999994</v>
      </c>
      <c r="AF260" s="2">
        <v>81.8</v>
      </c>
      <c r="AG260" s="2">
        <v>59.2</v>
      </c>
      <c r="AH260" s="2">
        <v>22.6</v>
      </c>
      <c r="AI260" s="2">
        <v>29.27</v>
      </c>
      <c r="AJ260" s="2">
        <v>5.91</v>
      </c>
      <c r="AK260" s="2">
        <v>0.91300000000000003</v>
      </c>
      <c r="AL260" s="2">
        <v>0.78600000000000003</v>
      </c>
      <c r="AM260" s="2">
        <v>1.0740000000000001</v>
      </c>
      <c r="AN260" s="2">
        <v>0.86199999999999999</v>
      </c>
      <c r="AO260" s="2">
        <v>0.71799999999999997</v>
      </c>
      <c r="AP260" s="2">
        <v>0.67800000000000005</v>
      </c>
      <c r="AQ260" s="2">
        <v>1.4810000000000001</v>
      </c>
      <c r="AR260" s="2">
        <v>0.50800000000000001</v>
      </c>
      <c r="AS260" s="2">
        <v>8.77</v>
      </c>
      <c r="AT260" s="2">
        <v>104.7</v>
      </c>
      <c r="AU260" s="2">
        <v>1.5309999999999999</v>
      </c>
      <c r="AV260" s="2">
        <v>0.49</v>
      </c>
      <c r="AW260" s="2">
        <v>6.3E-2</v>
      </c>
      <c r="AX260" s="2">
        <v>0.11</v>
      </c>
      <c r="AY260" s="2">
        <v>0.82699999999999996</v>
      </c>
      <c r="AZ260" s="2">
        <v>0.36</v>
      </c>
      <c r="BA260" s="2">
        <v>1.36</v>
      </c>
      <c r="BB260" s="2">
        <v>4</v>
      </c>
      <c r="BC260" s="2">
        <v>79</v>
      </c>
      <c r="BD260" s="2">
        <v>0.8</v>
      </c>
      <c r="BE260" s="2">
        <v>5.7</v>
      </c>
      <c r="BF260" s="2">
        <v>200</v>
      </c>
      <c r="BG260" s="2">
        <v>145</v>
      </c>
      <c r="BH260" s="2">
        <v>428</v>
      </c>
      <c r="BI260" s="2">
        <v>74</v>
      </c>
      <c r="BJ260" s="2">
        <v>9</v>
      </c>
      <c r="BK260" s="2">
        <v>12.3</v>
      </c>
      <c r="BL260" s="2">
        <v>4.5999999999999996</v>
      </c>
      <c r="BM260" s="2">
        <v>1.5</v>
      </c>
      <c r="BN260" s="2">
        <v>0</v>
      </c>
      <c r="BO260" s="2">
        <v>0.37</v>
      </c>
      <c r="BP260" s="2">
        <v>2.14</v>
      </c>
      <c r="BQ260" s="2">
        <v>0.61</v>
      </c>
    </row>
    <row r="261" spans="1:69" x14ac:dyDescent="0.2">
      <c r="A261">
        <v>20</v>
      </c>
      <c r="B261">
        <v>114</v>
      </c>
      <c r="C261" t="s">
        <v>8</v>
      </c>
      <c r="D261" t="s">
        <v>0</v>
      </c>
      <c r="E261">
        <v>2</v>
      </c>
      <c r="F261" s="2">
        <v>230.83286573146313</v>
      </c>
      <c r="G261" s="2">
        <v>201.526789206101</v>
      </c>
      <c r="H261" s="2">
        <v>649.97675350701411</v>
      </c>
      <c r="I261" s="2">
        <v>587.98404380132968</v>
      </c>
      <c r="J261" s="2">
        <v>880.80961923847724</v>
      </c>
      <c r="K261" s="2">
        <v>789.51083300743062</v>
      </c>
      <c r="L261" s="2">
        <v>-29.30607652536213</v>
      </c>
      <c r="M261" s="2">
        <v>-91.29878623104662</v>
      </c>
      <c r="N261" s="2">
        <v>1.7311999999999999</v>
      </c>
      <c r="O261" s="2">
        <v>23.178999999999998</v>
      </c>
      <c r="P261" s="2">
        <v>0.23699999999999999</v>
      </c>
      <c r="Q261" s="2">
        <v>1.0242</v>
      </c>
      <c r="R261" s="2">
        <v>3.9770000000000003</v>
      </c>
      <c r="S261" s="2">
        <v>17.6798</v>
      </c>
      <c r="T261" s="2">
        <v>88.649600000000007</v>
      </c>
      <c r="U261" s="2">
        <v>83.115399999999994</v>
      </c>
      <c r="V261" s="2">
        <v>69.175600000000003</v>
      </c>
      <c r="W261" s="2">
        <v>71.757000000000005</v>
      </c>
      <c r="X261" s="2">
        <v>17.916799999999999</v>
      </c>
      <c r="Y261" s="2">
        <v>96.95</v>
      </c>
      <c r="Z261" s="2">
        <v>22.1</v>
      </c>
      <c r="AA261" s="2">
        <v>44.02</v>
      </c>
      <c r="AB261" s="2">
        <v>26.77</v>
      </c>
      <c r="AC261" s="2">
        <v>3.37</v>
      </c>
      <c r="AD261" s="2">
        <v>20.6</v>
      </c>
      <c r="AE261" s="2">
        <v>51.54</v>
      </c>
      <c r="AF261" s="2">
        <v>72.099999999999994</v>
      </c>
      <c r="AG261" s="2">
        <v>49.1</v>
      </c>
      <c r="AH261" s="2">
        <v>23.1</v>
      </c>
      <c r="AI261" s="2">
        <v>19.82</v>
      </c>
      <c r="AJ261" s="2">
        <v>4.99</v>
      </c>
      <c r="AK261" s="2">
        <v>0.98199999999999998</v>
      </c>
      <c r="AL261" s="2">
        <v>0.97599999999999998</v>
      </c>
      <c r="AM261" s="2">
        <v>1.091</v>
      </c>
      <c r="AN261" s="2">
        <v>0.99299999999999999</v>
      </c>
      <c r="AO261" s="2">
        <v>0.95799999999999996</v>
      </c>
      <c r="AP261" s="2">
        <v>0.93200000000000005</v>
      </c>
      <c r="AQ261" s="2">
        <v>1.2270000000000001</v>
      </c>
      <c r="AR261" s="2">
        <v>1.665</v>
      </c>
      <c r="AS261" s="2">
        <v>24.04</v>
      </c>
      <c r="AT261" s="2">
        <v>269.5</v>
      </c>
      <c r="AU261" s="2">
        <v>1.306</v>
      </c>
      <c r="AV261" s="2">
        <v>0.5</v>
      </c>
      <c r="AW261" s="2">
        <v>0.1</v>
      </c>
      <c r="AX261" s="2">
        <v>0.153</v>
      </c>
      <c r="AY261" s="2">
        <v>0.747</v>
      </c>
      <c r="AZ261" s="2">
        <v>0.97</v>
      </c>
      <c r="BA261" s="2">
        <v>0.99</v>
      </c>
      <c r="BB261" s="2">
        <v>3.4</v>
      </c>
      <c r="BC261" s="2">
        <v>35</v>
      </c>
      <c r="BD261" s="2">
        <v>2.2000000000000002</v>
      </c>
      <c r="BE261" s="2">
        <v>4.5999999999999996</v>
      </c>
      <c r="BF261" s="2">
        <v>70</v>
      </c>
      <c r="BG261" s="2">
        <v>58</v>
      </c>
      <c r="BH261" s="2">
        <v>136</v>
      </c>
      <c r="BI261" s="2">
        <v>45</v>
      </c>
      <c r="BJ261" s="2">
        <v>24</v>
      </c>
      <c r="BK261" s="2">
        <v>4.7</v>
      </c>
      <c r="BL261" s="2">
        <v>1.8</v>
      </c>
      <c r="BM261" s="2">
        <v>0.9</v>
      </c>
      <c r="BN261" s="2">
        <v>0</v>
      </c>
      <c r="BO261" s="2">
        <v>0.15</v>
      </c>
      <c r="BP261" s="2">
        <v>0.68</v>
      </c>
      <c r="BQ261" s="2">
        <v>0.37</v>
      </c>
    </row>
    <row r="262" spans="1:69" x14ac:dyDescent="0.2">
      <c r="A262">
        <v>20</v>
      </c>
      <c r="B262">
        <v>118</v>
      </c>
      <c r="C262" t="s">
        <v>8</v>
      </c>
      <c r="D262" t="s">
        <v>7</v>
      </c>
      <c r="E262">
        <v>4</v>
      </c>
      <c r="F262" s="2">
        <v>100.34794520547956</v>
      </c>
      <c r="G262" s="2">
        <v>174.57172774869122</v>
      </c>
      <c r="H262" s="2">
        <v>198.38904109589046</v>
      </c>
      <c r="I262" s="2">
        <v>228.98369483919222</v>
      </c>
      <c r="J262" s="2">
        <v>298.73698630137005</v>
      </c>
      <c r="K262" s="2">
        <v>403.55542258788341</v>
      </c>
      <c r="L262" s="2">
        <v>74.223782543211655</v>
      </c>
      <c r="M262" s="2">
        <v>104.81843628651336</v>
      </c>
      <c r="N262" s="2">
        <v>0.68779999999999997</v>
      </c>
      <c r="O262" s="2">
        <v>10.456000000000001</v>
      </c>
      <c r="P262" s="2">
        <v>0.43879999999999997</v>
      </c>
      <c r="Q262" s="2">
        <v>3.6545999999999998</v>
      </c>
      <c r="R262" s="2">
        <v>9.408199999999999</v>
      </c>
      <c r="S262" s="2">
        <v>6.4550000000000001</v>
      </c>
      <c r="T262" s="2">
        <v>27.125599999999999</v>
      </c>
      <c r="U262" s="2">
        <v>21.767799999999998</v>
      </c>
      <c r="V262" s="2">
        <v>24.282199999999996</v>
      </c>
      <c r="W262" s="2">
        <v>23.886399999999998</v>
      </c>
      <c r="X262" s="2">
        <v>6.8937999999999997</v>
      </c>
      <c r="Y262" s="2">
        <v>114.21</v>
      </c>
      <c r="Z262" s="2">
        <v>31.17</v>
      </c>
      <c r="AA262" s="2">
        <v>43.26</v>
      </c>
      <c r="AB262" s="2">
        <v>34.78</v>
      </c>
      <c r="AC262" s="2">
        <v>4.3499999999999996</v>
      </c>
      <c r="AD262" s="2">
        <v>15.91</v>
      </c>
      <c r="AE262" s="2">
        <v>60.51</v>
      </c>
      <c r="AF262" s="2">
        <v>76.400000000000006</v>
      </c>
      <c r="AG262" s="2">
        <v>57.8</v>
      </c>
      <c r="AH262" s="2">
        <v>18.600000000000001</v>
      </c>
      <c r="AI262" s="2">
        <v>30.16</v>
      </c>
      <c r="AJ262" s="2">
        <v>7.63</v>
      </c>
      <c r="AK262" s="2">
        <v>1.069</v>
      </c>
      <c r="AL262" s="2">
        <v>0.77400000000000002</v>
      </c>
      <c r="AM262" s="2">
        <v>1.0269999999999999</v>
      </c>
      <c r="AN262" s="2">
        <v>0.72399999999999998</v>
      </c>
      <c r="AO262" s="2">
        <v>0.82699999999999996</v>
      </c>
      <c r="AP262" s="2">
        <v>0.51</v>
      </c>
      <c r="AQ262" s="2">
        <v>1.446</v>
      </c>
      <c r="AR262" s="2">
        <v>0.70199999999999996</v>
      </c>
      <c r="AS262" s="2">
        <v>11.51</v>
      </c>
      <c r="AT262" s="2">
        <v>125.3</v>
      </c>
      <c r="AU262" s="2">
        <v>1.679</v>
      </c>
      <c r="AV262" s="2">
        <v>0.27</v>
      </c>
      <c r="AW262" s="2">
        <v>7.6999999999999999E-2</v>
      </c>
      <c r="AX262" s="2">
        <v>0.14599999999999999</v>
      </c>
      <c r="AY262" s="2">
        <v>0.77700000000000002</v>
      </c>
      <c r="AZ262" s="2">
        <v>0.81</v>
      </c>
      <c r="BA262" s="2">
        <v>1.32</v>
      </c>
      <c r="BB262" s="2">
        <v>5.6</v>
      </c>
      <c r="BC262" s="2">
        <v>85</v>
      </c>
      <c r="BD262" s="2">
        <v>0.8</v>
      </c>
      <c r="BE262" s="2">
        <v>6.2</v>
      </c>
      <c r="BF262" s="2">
        <v>88</v>
      </c>
      <c r="BG262" s="2">
        <v>177</v>
      </c>
      <c r="BH262" s="2">
        <v>650</v>
      </c>
      <c r="BI262" s="2">
        <v>133</v>
      </c>
      <c r="BJ262" s="2">
        <v>12</v>
      </c>
      <c r="BK262" s="2">
        <v>11.1</v>
      </c>
      <c r="BL262" s="2">
        <v>5.4</v>
      </c>
      <c r="BM262" s="2">
        <v>2.5</v>
      </c>
      <c r="BN262" s="2">
        <v>0</v>
      </c>
      <c r="BO262" s="2">
        <v>0.45</v>
      </c>
      <c r="BP262" s="2">
        <v>3.25</v>
      </c>
      <c r="BQ262" s="2">
        <v>1.0900000000000001</v>
      </c>
    </row>
    <row r="263" spans="1:69" x14ac:dyDescent="0.2">
      <c r="A263">
        <v>20</v>
      </c>
      <c r="B263">
        <v>147</v>
      </c>
      <c r="C263" t="s">
        <v>8</v>
      </c>
      <c r="D263" t="s">
        <v>5</v>
      </c>
      <c r="E263">
        <v>1</v>
      </c>
      <c r="F263" s="2">
        <v>496.37554585152856</v>
      </c>
      <c r="G263" s="2">
        <v>589.72015209125493</v>
      </c>
      <c r="H263" s="2">
        <v>1167.0340611353713</v>
      </c>
      <c r="I263" s="2">
        <v>1160.2311787072244</v>
      </c>
      <c r="J263" s="2">
        <v>1663.4096069868999</v>
      </c>
      <c r="K263" s="2">
        <v>1749.9513307984794</v>
      </c>
      <c r="L263" s="2">
        <v>93.344606239726374</v>
      </c>
      <c r="M263" s="2">
        <v>86.541723811579459</v>
      </c>
      <c r="N263" s="2">
        <v>5.2161</v>
      </c>
      <c r="O263" s="2">
        <v>97.165999999999997</v>
      </c>
      <c r="P263" s="2">
        <v>0.747</v>
      </c>
      <c r="Q263" s="2">
        <v>1.8809999999999998</v>
      </c>
      <c r="R263" s="2">
        <v>6.1345999999999998</v>
      </c>
      <c r="S263" s="2">
        <v>42.1492</v>
      </c>
      <c r="T263" s="2">
        <v>186.69919999999999</v>
      </c>
      <c r="U263" s="2">
        <v>188.3218</v>
      </c>
      <c r="V263" s="2">
        <v>151.56020000000001</v>
      </c>
      <c r="W263" s="2">
        <v>145.684</v>
      </c>
      <c r="X263" s="2">
        <v>42.8962</v>
      </c>
      <c r="Y263" s="2">
        <v>67.569999999999993</v>
      </c>
      <c r="Z263" s="2">
        <v>27.58</v>
      </c>
      <c r="AA263" s="2">
        <v>20.9</v>
      </c>
      <c r="AB263" s="2">
        <v>13.31</v>
      </c>
      <c r="AC263" s="2">
        <v>5.21</v>
      </c>
      <c r="AD263" s="2">
        <v>25.78</v>
      </c>
      <c r="AE263" s="2">
        <v>23.1</v>
      </c>
      <c r="AF263" s="2">
        <v>48.9</v>
      </c>
      <c r="AG263" s="2">
        <v>34.200000000000003</v>
      </c>
      <c r="AH263" s="2">
        <v>14.7</v>
      </c>
      <c r="AI263" s="2">
        <v>13.45</v>
      </c>
      <c r="AJ263" s="2">
        <v>5.24</v>
      </c>
      <c r="AK263" s="2">
        <v>1.399</v>
      </c>
      <c r="AL263" s="2">
        <v>1.343</v>
      </c>
      <c r="AM263" s="2">
        <v>1.008</v>
      </c>
      <c r="AN263" s="2">
        <v>0.96</v>
      </c>
      <c r="AO263" s="2">
        <v>1.8779999999999999</v>
      </c>
      <c r="AP263" s="2">
        <v>0.93500000000000005</v>
      </c>
      <c r="AQ263" s="2">
        <v>0.85499999999999998</v>
      </c>
      <c r="AR263" s="2">
        <v>4.7699999999999996</v>
      </c>
      <c r="AS263" s="2">
        <v>92.55</v>
      </c>
      <c r="AT263" s="2">
        <v>637.29999999999995</v>
      </c>
      <c r="AU263" s="2">
        <v>0.77900000000000003</v>
      </c>
      <c r="AV263" s="2">
        <v>0.61</v>
      </c>
      <c r="AW263" s="2">
        <v>0.189</v>
      </c>
      <c r="AX263" s="2">
        <v>0.38500000000000001</v>
      </c>
      <c r="AY263" s="2">
        <v>0.42599999999999999</v>
      </c>
      <c r="AZ263" s="2">
        <v>2.15</v>
      </c>
      <c r="BA263" s="2">
        <v>0.73</v>
      </c>
      <c r="BB263" s="2">
        <v>8.6999999999999993</v>
      </c>
      <c r="BC263" s="2">
        <v>43</v>
      </c>
      <c r="BD263" s="2">
        <v>5</v>
      </c>
      <c r="BE263" s="2">
        <v>4.3</v>
      </c>
      <c r="BF263" s="2">
        <v>52</v>
      </c>
      <c r="BG263" s="2">
        <v>117</v>
      </c>
      <c r="BH263" s="2">
        <v>471</v>
      </c>
      <c r="BI263" s="2">
        <v>127</v>
      </c>
      <c r="BJ263" s="2">
        <v>29</v>
      </c>
      <c r="BK263" s="2">
        <v>9.6</v>
      </c>
      <c r="BL263" s="2">
        <v>3.7</v>
      </c>
      <c r="BM263" s="2">
        <v>1</v>
      </c>
      <c r="BN263" s="2">
        <v>0.1</v>
      </c>
      <c r="BO263" s="2">
        <v>0.3</v>
      </c>
      <c r="BP263" s="2">
        <v>2.36</v>
      </c>
      <c r="BQ263" s="2">
        <v>1.04</v>
      </c>
    </row>
    <row r="264" spans="1:69" x14ac:dyDescent="0.2">
      <c r="A264">
        <v>20</v>
      </c>
      <c r="B264">
        <v>162</v>
      </c>
      <c r="C264" t="s">
        <v>8</v>
      </c>
      <c r="D264" t="s">
        <v>5</v>
      </c>
      <c r="E264">
        <v>2</v>
      </c>
      <c r="F264" s="2">
        <v>519.85271122320319</v>
      </c>
      <c r="G264" s="2">
        <v>523.47444574095687</v>
      </c>
      <c r="H264" s="2">
        <v>1033.9717528373264</v>
      </c>
      <c r="I264" s="2">
        <v>1055.7913652275379</v>
      </c>
      <c r="J264" s="2">
        <v>1553.8244640605296</v>
      </c>
      <c r="K264" s="2">
        <v>1579.2658109684949</v>
      </c>
      <c r="L264" s="2">
        <v>3.6217345177536799</v>
      </c>
      <c r="M264" s="2">
        <v>25.441346907965226</v>
      </c>
      <c r="N264" s="2">
        <v>4.5388000000000002</v>
      </c>
      <c r="O264" s="2">
        <v>95.85499999999999</v>
      </c>
      <c r="P264" s="2">
        <v>0.63839999999999997</v>
      </c>
      <c r="Q264" s="2">
        <v>1.5125999999999999</v>
      </c>
      <c r="R264" s="2">
        <v>6.7922000000000002</v>
      </c>
      <c r="S264" s="2">
        <v>28.610800000000001</v>
      </c>
      <c r="T264" s="2">
        <v>155.67320000000001</v>
      </c>
      <c r="U264" s="2">
        <v>174.49180000000001</v>
      </c>
      <c r="V264" s="2">
        <v>152.03480000000002</v>
      </c>
      <c r="W264" s="2">
        <v>127.9366</v>
      </c>
      <c r="X264" s="2">
        <v>29.249200000000002</v>
      </c>
      <c r="Y264" s="2">
        <v>69.78</v>
      </c>
      <c r="Z264" s="2">
        <v>26.77</v>
      </c>
      <c r="AA264" s="2">
        <v>20.010000000000002</v>
      </c>
      <c r="AB264" s="2">
        <v>18.54</v>
      </c>
      <c r="AC264" s="2">
        <v>3.93</v>
      </c>
      <c r="AD264" s="2">
        <v>24.39</v>
      </c>
      <c r="AE264" s="2">
        <v>21.85</v>
      </c>
      <c r="AF264" s="2">
        <v>46.2</v>
      </c>
      <c r="AG264" s="2">
        <v>35.299999999999997</v>
      </c>
      <c r="AH264" s="2">
        <v>10.9</v>
      </c>
      <c r="AI264" s="2">
        <v>18.920000000000002</v>
      </c>
      <c r="AJ264" s="2">
        <v>4.62</v>
      </c>
      <c r="AK264" s="2">
        <v>1.3240000000000001</v>
      </c>
      <c r="AL264" s="2">
        <v>1.244</v>
      </c>
      <c r="AM264" s="2">
        <v>0.98799999999999999</v>
      </c>
      <c r="AN264" s="2">
        <v>0.93899999999999995</v>
      </c>
      <c r="AO264" s="2">
        <v>1.647</v>
      </c>
      <c r="AP264" s="2">
        <v>0.91100000000000003</v>
      </c>
      <c r="AQ264" s="2">
        <v>0.88300000000000001</v>
      </c>
      <c r="AR264" s="2">
        <v>3.6019999999999999</v>
      </c>
      <c r="AS264" s="2">
        <v>81.03</v>
      </c>
      <c r="AT264" s="2">
        <v>741.6</v>
      </c>
      <c r="AU264" s="2">
        <v>0.77800000000000002</v>
      </c>
      <c r="AV264" s="2">
        <v>0.88</v>
      </c>
      <c r="AW264" s="2">
        <v>0.13900000000000001</v>
      </c>
      <c r="AX264" s="2">
        <v>0.252</v>
      </c>
      <c r="AY264" s="2">
        <v>0.60899999999999999</v>
      </c>
      <c r="AZ264" s="2">
        <v>2.37</v>
      </c>
      <c r="BA264" s="2">
        <v>0.73</v>
      </c>
      <c r="BB264" s="2">
        <v>8.8000000000000007</v>
      </c>
      <c r="BC264" s="2">
        <v>51</v>
      </c>
      <c r="BD264" s="2">
        <v>4.3</v>
      </c>
      <c r="BE264" s="2">
        <v>4.5</v>
      </c>
      <c r="BF264" s="2">
        <v>29</v>
      </c>
      <c r="BG264" s="2">
        <v>79</v>
      </c>
      <c r="BH264" s="2">
        <v>648</v>
      </c>
      <c r="BI264" s="2">
        <v>127</v>
      </c>
      <c r="BJ264" s="2">
        <v>19</v>
      </c>
      <c r="BK264" s="2">
        <v>5.7</v>
      </c>
      <c r="BL264" s="2">
        <v>3.4</v>
      </c>
      <c r="BM264" s="2">
        <v>0.6</v>
      </c>
      <c r="BN264" s="2">
        <v>0.1</v>
      </c>
      <c r="BO264" s="2">
        <v>0.2</v>
      </c>
      <c r="BP264" s="2">
        <v>3.24</v>
      </c>
      <c r="BQ264" s="2">
        <v>1.04</v>
      </c>
    </row>
    <row r="265" spans="1:69" x14ac:dyDescent="0.2">
      <c r="A265">
        <v>20</v>
      </c>
      <c r="B265">
        <v>177</v>
      </c>
      <c r="C265" t="s">
        <v>8</v>
      </c>
      <c r="D265" t="s">
        <v>5</v>
      </c>
      <c r="E265">
        <v>4</v>
      </c>
      <c r="F265" s="2">
        <v>128.23119266055045</v>
      </c>
      <c r="G265" s="2">
        <v>140.89243027888455</v>
      </c>
      <c r="H265" s="2">
        <v>486.66055045871542</v>
      </c>
      <c r="I265" s="2">
        <v>587.72270916334662</v>
      </c>
      <c r="J265" s="2">
        <v>614.89174311926581</v>
      </c>
      <c r="K265" s="2">
        <v>728.61513944223111</v>
      </c>
      <c r="L265" s="2">
        <v>12.661237618334098</v>
      </c>
      <c r="M265" s="2">
        <v>113.7233963229653</v>
      </c>
      <c r="N265" s="2">
        <v>2.0278</v>
      </c>
      <c r="O265" s="2">
        <v>54.405999999999999</v>
      </c>
      <c r="P265" s="2">
        <v>0.67559999999999998</v>
      </c>
      <c r="Q265" s="2">
        <v>0.75419999999999987</v>
      </c>
      <c r="R265" s="2">
        <v>3.3074000000000003</v>
      </c>
      <c r="S265" s="2">
        <v>10.2804</v>
      </c>
      <c r="T265" s="2">
        <v>32.926400000000001</v>
      </c>
      <c r="U265" s="2">
        <v>50.334999999999994</v>
      </c>
      <c r="V265" s="2">
        <v>42.686399999999992</v>
      </c>
      <c r="W265" s="2">
        <v>22.724599999999999</v>
      </c>
      <c r="X265" s="2">
        <v>10.956</v>
      </c>
      <c r="Y265" s="2">
        <v>88.76</v>
      </c>
      <c r="Z265" s="2">
        <v>21.25</v>
      </c>
      <c r="AA265" s="2">
        <v>35.65</v>
      </c>
      <c r="AB265" s="2">
        <v>28.73</v>
      </c>
      <c r="AC265" s="2">
        <v>2.58</v>
      </c>
      <c r="AD265" s="2">
        <v>17.22</v>
      </c>
      <c r="AE265" s="2">
        <v>42.38</v>
      </c>
      <c r="AF265" s="2">
        <v>59.6</v>
      </c>
      <c r="AG265" s="2">
        <v>44.9</v>
      </c>
      <c r="AH265" s="2">
        <v>14.7</v>
      </c>
      <c r="AI265" s="2">
        <v>24.62</v>
      </c>
      <c r="AJ265" s="2">
        <v>4.54</v>
      </c>
      <c r="AK265" s="2">
        <v>0.98899999999999999</v>
      </c>
      <c r="AL265" s="2">
        <v>0.9</v>
      </c>
      <c r="AM265" s="2">
        <v>1.0469999999999999</v>
      </c>
      <c r="AN265" s="2">
        <v>0.90900000000000003</v>
      </c>
      <c r="AO265" s="2">
        <v>0.89</v>
      </c>
      <c r="AP265" s="2">
        <v>0.81</v>
      </c>
      <c r="AQ265" s="2">
        <v>1.1240000000000001</v>
      </c>
      <c r="AR265" s="2">
        <v>1.429</v>
      </c>
      <c r="AS265" s="2">
        <v>38.46</v>
      </c>
      <c r="AT265" s="2">
        <v>212.6</v>
      </c>
      <c r="AU265" s="2">
        <v>1.0069999999999999</v>
      </c>
      <c r="AV265" s="2">
        <v>0.22</v>
      </c>
      <c r="AW265" s="2">
        <v>9.2999999999999999E-2</v>
      </c>
      <c r="AX265" s="2">
        <v>0.152</v>
      </c>
      <c r="AY265" s="2">
        <v>0.755</v>
      </c>
      <c r="AZ265" s="2">
        <v>2.84</v>
      </c>
      <c r="BA265" s="2">
        <v>1.03</v>
      </c>
      <c r="BB265" s="2">
        <v>6.5</v>
      </c>
      <c r="BC265" s="2">
        <v>19</v>
      </c>
      <c r="BD265" s="2">
        <v>5.2</v>
      </c>
      <c r="BE265" s="2">
        <v>4</v>
      </c>
      <c r="BF265" s="2">
        <v>23</v>
      </c>
      <c r="BG265" s="2">
        <v>33</v>
      </c>
      <c r="BH265" s="2">
        <v>139</v>
      </c>
      <c r="BI265" s="2">
        <v>55</v>
      </c>
      <c r="BJ265" s="2">
        <v>22</v>
      </c>
      <c r="BK265" s="2">
        <v>1.9</v>
      </c>
      <c r="BL265" s="2">
        <v>0.9</v>
      </c>
      <c r="BM265" s="2">
        <v>0.4</v>
      </c>
      <c r="BN265" s="2">
        <v>0</v>
      </c>
      <c r="BO265" s="2">
        <v>0.08</v>
      </c>
      <c r="BP265" s="2">
        <v>0.7</v>
      </c>
      <c r="BQ265" s="2">
        <v>0.45</v>
      </c>
    </row>
    <row r="266" spans="1:69" x14ac:dyDescent="0.2">
      <c r="A266">
        <v>20</v>
      </c>
      <c r="B266">
        <v>179</v>
      </c>
      <c r="C266" t="s">
        <v>8</v>
      </c>
      <c r="D266" t="s">
        <v>0</v>
      </c>
      <c r="E266">
        <v>4</v>
      </c>
      <c r="F266" s="2">
        <v>249.48762937407594</v>
      </c>
      <c r="G266" s="2">
        <v>230.29059829059852</v>
      </c>
      <c r="H266" s="2">
        <v>512.42069985214391</v>
      </c>
      <c r="I266" s="2">
        <v>597.31623931623915</v>
      </c>
      <c r="J266" s="2">
        <v>761.90832922621985</v>
      </c>
      <c r="K266" s="2">
        <v>827.60683760683764</v>
      </c>
      <c r="L266" s="2">
        <v>-19.197031083477412</v>
      </c>
      <c r="M266" s="2">
        <v>65.698508380617795</v>
      </c>
      <c r="N266" s="2">
        <v>3.2679999999999998</v>
      </c>
      <c r="O266" s="2">
        <v>68.665000000000006</v>
      </c>
      <c r="P266" s="2">
        <v>0.64400000000000002</v>
      </c>
      <c r="Q266" s="2">
        <v>0.92220000000000002</v>
      </c>
      <c r="R266" s="2">
        <v>3.3361999999999998</v>
      </c>
      <c r="S266" s="2">
        <v>30.408200000000001</v>
      </c>
      <c r="T266" s="2">
        <v>71.194400000000002</v>
      </c>
      <c r="U266" s="2">
        <v>63.266199999999998</v>
      </c>
      <c r="V266" s="2">
        <v>35.550200000000004</v>
      </c>
      <c r="W266" s="2">
        <v>41.064400000000006</v>
      </c>
      <c r="X266" s="2">
        <v>31.052199999999999</v>
      </c>
      <c r="Y266" s="2">
        <v>93.44</v>
      </c>
      <c r="Z266" s="2">
        <v>32.409999999999997</v>
      </c>
      <c r="AA266" s="2">
        <v>34.32</v>
      </c>
      <c r="AB266" s="2">
        <v>23.85</v>
      </c>
      <c r="AC266" s="2">
        <v>2.38</v>
      </c>
      <c r="AD266" s="2">
        <v>29.73</v>
      </c>
      <c r="AE266" s="2">
        <v>42.09</v>
      </c>
      <c r="AF266" s="2">
        <v>71.8</v>
      </c>
      <c r="AG266" s="2">
        <v>47.3</v>
      </c>
      <c r="AH266" s="2">
        <v>24.5</v>
      </c>
      <c r="AI266" s="2">
        <v>18.2</v>
      </c>
      <c r="AJ266" s="2">
        <v>3.42</v>
      </c>
      <c r="AK266" s="2">
        <v>1.266</v>
      </c>
      <c r="AL266" s="2">
        <v>1.2270000000000001</v>
      </c>
      <c r="AM266" s="2">
        <v>1.0760000000000001</v>
      </c>
      <c r="AN266" s="2">
        <v>0.96899999999999997</v>
      </c>
      <c r="AO266" s="2">
        <v>1.554</v>
      </c>
      <c r="AP266" s="2">
        <v>0.91700000000000004</v>
      </c>
      <c r="AQ266" s="2">
        <v>1.1830000000000001</v>
      </c>
      <c r="AR266" s="2">
        <v>1.4019999999999999</v>
      </c>
      <c r="AS266" s="2">
        <v>27.38</v>
      </c>
      <c r="AT266" s="2">
        <v>211.9</v>
      </c>
      <c r="AU266" s="2">
        <v>1.3520000000000001</v>
      </c>
      <c r="AV266" s="2">
        <v>0.34</v>
      </c>
      <c r="AW266" s="2">
        <v>9.6000000000000002E-2</v>
      </c>
      <c r="AX266" s="2">
        <v>0.152</v>
      </c>
      <c r="AY266" s="2">
        <v>0.752</v>
      </c>
      <c r="AZ266" s="2">
        <v>1.49</v>
      </c>
      <c r="BA266" s="2">
        <v>1.1100000000000001</v>
      </c>
      <c r="BB266" s="2">
        <v>4</v>
      </c>
      <c r="BC266" s="2">
        <v>37</v>
      </c>
      <c r="BD266" s="2">
        <v>2.6</v>
      </c>
      <c r="BE266" s="2">
        <v>4.8</v>
      </c>
      <c r="BF266" s="2">
        <v>25</v>
      </c>
      <c r="BG266" s="2">
        <v>56</v>
      </c>
      <c r="BH266" s="2">
        <v>195</v>
      </c>
      <c r="BI266" s="2">
        <v>44</v>
      </c>
      <c r="BJ266" s="2">
        <v>21</v>
      </c>
      <c r="BK266" s="2">
        <v>4.0999999999999996</v>
      </c>
      <c r="BL266" s="2">
        <v>4.2</v>
      </c>
      <c r="BM266" s="2">
        <v>1.6</v>
      </c>
      <c r="BN266" s="2">
        <v>0</v>
      </c>
      <c r="BO266" s="2">
        <v>0.14000000000000001</v>
      </c>
      <c r="BP266" s="2">
        <v>0.98</v>
      </c>
      <c r="BQ266" s="2">
        <v>0.36</v>
      </c>
    </row>
    <row r="267" spans="1:69" x14ac:dyDescent="0.2">
      <c r="A267">
        <v>20</v>
      </c>
      <c r="B267">
        <v>255</v>
      </c>
      <c r="C267" t="s">
        <v>8</v>
      </c>
      <c r="D267" t="s">
        <v>5</v>
      </c>
      <c r="E267">
        <v>3</v>
      </c>
      <c r="F267" s="2">
        <v>243.39270998415239</v>
      </c>
      <c r="G267" s="2">
        <v>298.79357716324722</v>
      </c>
      <c r="H267" s="2">
        <v>618.08938193343886</v>
      </c>
      <c r="I267" s="2">
        <v>855.82051739518272</v>
      </c>
      <c r="J267" s="2">
        <v>861.48209191759122</v>
      </c>
      <c r="K267" s="2">
        <v>1154.61409455843</v>
      </c>
      <c r="L267" s="2">
        <v>55.400867179094831</v>
      </c>
      <c r="M267" s="2">
        <v>293.13200264083878</v>
      </c>
      <c r="N267" s="2">
        <v>1.7088000000000001</v>
      </c>
      <c r="O267" s="2">
        <v>31.019000000000002</v>
      </c>
      <c r="P267" s="2">
        <v>0.42920000000000003</v>
      </c>
      <c r="Q267" s="2">
        <v>2.5242</v>
      </c>
      <c r="R267" s="2">
        <v>7.6597999999999997</v>
      </c>
      <c r="S267" s="2">
        <v>19.683799999999998</v>
      </c>
      <c r="T267" s="2">
        <v>83.963600000000014</v>
      </c>
      <c r="U267" s="2">
        <v>109.8142</v>
      </c>
      <c r="V267" s="2">
        <v>97.361000000000004</v>
      </c>
      <c r="W267" s="2">
        <v>66.374800000000008</v>
      </c>
      <c r="X267" s="2">
        <v>20.113</v>
      </c>
      <c r="Y267" s="2">
        <v>78.52</v>
      </c>
      <c r="Z267" s="2">
        <v>22.12</v>
      </c>
      <c r="AA267" s="2">
        <v>34.020000000000003</v>
      </c>
      <c r="AB267" s="2">
        <v>19.43</v>
      </c>
      <c r="AC267" s="2">
        <v>2.4300000000000002</v>
      </c>
      <c r="AD267" s="2">
        <v>23.16</v>
      </c>
      <c r="AE267" s="2">
        <v>36.82</v>
      </c>
      <c r="AF267" s="2">
        <v>60</v>
      </c>
      <c r="AG267" s="2">
        <v>39.799999999999997</v>
      </c>
      <c r="AH267" s="2">
        <v>20.2</v>
      </c>
      <c r="AI267" s="2">
        <v>15.53</v>
      </c>
      <c r="AJ267" s="2">
        <v>3.01</v>
      </c>
      <c r="AK267" s="2">
        <v>1.119</v>
      </c>
      <c r="AL267" s="2">
        <v>1.1719999999999999</v>
      </c>
      <c r="AM267" s="2">
        <v>1.0680000000000001</v>
      </c>
      <c r="AN267" s="2">
        <v>1.0469999999999999</v>
      </c>
      <c r="AO267" s="2">
        <v>1.3120000000000001</v>
      </c>
      <c r="AP267" s="2">
        <v>1.0469999999999999</v>
      </c>
      <c r="AQ267" s="2">
        <v>0.99399999999999999</v>
      </c>
      <c r="AR267" s="2">
        <v>2.5049999999999999</v>
      </c>
      <c r="AS267" s="2">
        <v>54.89</v>
      </c>
      <c r="AT267" s="2">
        <v>294.8</v>
      </c>
      <c r="AU267" s="2">
        <v>0.86599999999999999</v>
      </c>
      <c r="AV267" s="2">
        <v>0.61</v>
      </c>
      <c r="AW267" s="2">
        <v>0.115</v>
      </c>
      <c r="AX267" s="2">
        <v>0.151</v>
      </c>
      <c r="AY267" s="2">
        <v>0.73399999999999999</v>
      </c>
      <c r="AZ267" s="2">
        <v>1.49</v>
      </c>
      <c r="BA267" s="2">
        <v>0.9</v>
      </c>
      <c r="BB267" s="2">
        <v>9.8000000000000007</v>
      </c>
      <c r="BC267" s="2">
        <v>55</v>
      </c>
      <c r="BD267" s="2">
        <v>4.4000000000000004</v>
      </c>
      <c r="BE267" s="2">
        <v>4.5</v>
      </c>
      <c r="BF267" s="2">
        <v>34</v>
      </c>
      <c r="BG267" s="2">
        <v>94</v>
      </c>
      <c r="BH267" s="2">
        <v>774</v>
      </c>
      <c r="BI267" s="2">
        <v>148</v>
      </c>
      <c r="BJ267" s="2">
        <v>18</v>
      </c>
      <c r="BK267" s="2">
        <v>5</v>
      </c>
      <c r="BL267" s="2">
        <v>2.2999999999999998</v>
      </c>
      <c r="BM267" s="2">
        <v>0.6</v>
      </c>
      <c r="BN267" s="2">
        <v>0</v>
      </c>
      <c r="BO267" s="2">
        <v>0.24</v>
      </c>
      <c r="BP267" s="2">
        <v>3.87</v>
      </c>
      <c r="BQ267" s="2">
        <v>1.22</v>
      </c>
    </row>
    <row r="268" spans="1:69" x14ac:dyDescent="0.2">
      <c r="A268">
        <v>20</v>
      </c>
      <c r="B268">
        <v>273</v>
      </c>
      <c r="C268" t="s">
        <v>8</v>
      </c>
      <c r="D268" t="s">
        <v>7</v>
      </c>
      <c r="E268">
        <v>3</v>
      </c>
      <c r="F268" s="2">
        <v>82.205561277034093</v>
      </c>
      <c r="G268" s="2">
        <v>144.68735083532223</v>
      </c>
      <c r="H268" s="2">
        <v>161.28939237899078</v>
      </c>
      <c r="I268" s="2">
        <v>203.59577224684622</v>
      </c>
      <c r="J268" s="2">
        <v>243.49495365602488</v>
      </c>
      <c r="K268" s="2">
        <v>348.28312308216846</v>
      </c>
      <c r="L268" s="2">
        <v>62.481789558288142</v>
      </c>
      <c r="M268" s="2">
        <v>104.78816942614358</v>
      </c>
      <c r="N268" s="2">
        <v>0.4027</v>
      </c>
      <c r="O268" s="2">
        <v>6.2833000000000006</v>
      </c>
      <c r="P268" s="2">
        <v>0.3</v>
      </c>
      <c r="Q268" s="2">
        <v>1.6854</v>
      </c>
      <c r="R268" s="2">
        <v>5.9546000000000001</v>
      </c>
      <c r="S268" s="2">
        <v>5.2507999999999999</v>
      </c>
      <c r="T268" s="2">
        <v>16.947200000000002</v>
      </c>
      <c r="U268" s="2">
        <v>14.780199999999999</v>
      </c>
      <c r="V268" s="2">
        <v>15.184000000000001</v>
      </c>
      <c r="W268" s="2">
        <v>13.081800000000005</v>
      </c>
      <c r="X268" s="2">
        <v>5.5507999999999997</v>
      </c>
      <c r="Y268" s="2">
        <v>122.44</v>
      </c>
      <c r="Z268" s="2">
        <v>16.260000000000002</v>
      </c>
      <c r="AA268" s="2">
        <v>57.16</v>
      </c>
      <c r="AB268" s="2">
        <v>44.91</v>
      </c>
      <c r="AC268" s="2">
        <v>3.41</v>
      </c>
      <c r="AD268" s="2">
        <v>11.01</v>
      </c>
      <c r="AE268" s="2">
        <v>67.489999999999995</v>
      </c>
      <c r="AF268" s="2">
        <v>78.5</v>
      </c>
      <c r="AG268" s="2">
        <v>62</v>
      </c>
      <c r="AH268" s="2">
        <v>16.5</v>
      </c>
      <c r="AI268" s="2">
        <v>36.96</v>
      </c>
      <c r="AJ268" s="2">
        <v>6.98</v>
      </c>
      <c r="AK268" s="2">
        <v>0.73</v>
      </c>
      <c r="AL268" s="2">
        <v>0.65100000000000002</v>
      </c>
      <c r="AM268" s="2">
        <v>1.069</v>
      </c>
      <c r="AN268" s="2">
        <v>0.89100000000000001</v>
      </c>
      <c r="AO268" s="2">
        <v>0.47499999999999998</v>
      </c>
      <c r="AP268" s="2">
        <v>0.67700000000000005</v>
      </c>
      <c r="AQ268" s="2">
        <v>1.55</v>
      </c>
      <c r="AR268" s="2">
        <v>0.52500000000000002</v>
      </c>
      <c r="AS268" s="2">
        <v>7.78</v>
      </c>
      <c r="AT268" s="2">
        <v>135.69999999999999</v>
      </c>
      <c r="AU268" s="2">
        <v>1.6319999999999999</v>
      </c>
      <c r="AV268" s="2">
        <v>0.17</v>
      </c>
      <c r="AW268" s="2">
        <v>4.9000000000000002E-2</v>
      </c>
      <c r="AX268" s="2">
        <v>9.5000000000000001E-2</v>
      </c>
      <c r="AY268" s="2">
        <v>0.85599999999999998</v>
      </c>
      <c r="AZ268" s="2">
        <v>0.32</v>
      </c>
      <c r="BA268" s="2">
        <v>1.44</v>
      </c>
      <c r="BB268" s="2">
        <v>3.8</v>
      </c>
      <c r="BC268" s="2">
        <v>82</v>
      </c>
      <c r="BD268" s="2">
        <v>0.7</v>
      </c>
      <c r="BE268" s="2">
        <v>6</v>
      </c>
      <c r="BF268" s="2">
        <v>199</v>
      </c>
      <c r="BG268" s="2">
        <v>119</v>
      </c>
      <c r="BH268" s="2">
        <v>408</v>
      </c>
      <c r="BI268" s="2">
        <v>91</v>
      </c>
      <c r="BJ268" s="2">
        <v>9</v>
      </c>
      <c r="BK268" s="2">
        <v>10.3</v>
      </c>
      <c r="BL268" s="2">
        <v>4.5999999999999996</v>
      </c>
      <c r="BM268" s="2">
        <v>1.2</v>
      </c>
      <c r="BN268" s="2">
        <v>0</v>
      </c>
      <c r="BO268" s="2">
        <v>0.3</v>
      </c>
      <c r="BP268" s="2">
        <v>2.04</v>
      </c>
      <c r="BQ268" s="2">
        <v>0.75</v>
      </c>
    </row>
    <row r="269" spans="1:69" x14ac:dyDescent="0.2">
      <c r="A269">
        <v>20</v>
      </c>
      <c r="B269">
        <v>304</v>
      </c>
      <c r="C269" t="s">
        <v>8</v>
      </c>
      <c r="D269" t="s">
        <v>7</v>
      </c>
      <c r="E269">
        <v>2</v>
      </c>
      <c r="F269" s="2">
        <v>58.12180695482629</v>
      </c>
      <c r="G269" s="2">
        <v>78.666127401415707</v>
      </c>
      <c r="H269" s="2">
        <v>137.91615209619764</v>
      </c>
      <c r="I269" s="2">
        <v>142.00768452982817</v>
      </c>
      <c r="J269" s="2">
        <v>196.03795905102393</v>
      </c>
      <c r="K269" s="2">
        <v>220.67381193124388</v>
      </c>
      <c r="L269" s="2">
        <v>20.544320446589417</v>
      </c>
      <c r="M269" s="2">
        <v>24.635852880219943</v>
      </c>
      <c r="N269" s="2">
        <v>0.36020000000000002</v>
      </c>
      <c r="O269" s="2">
        <v>5.4776999999999996</v>
      </c>
      <c r="P269" s="2">
        <v>0.2072</v>
      </c>
      <c r="Q269" s="2">
        <v>1.0446</v>
      </c>
      <c r="R269" s="2">
        <v>4.0465999999999998</v>
      </c>
      <c r="S269" s="2">
        <v>4.9596</v>
      </c>
      <c r="T269" s="2">
        <v>14.928799999999999</v>
      </c>
      <c r="U269" s="2">
        <v>13.0174</v>
      </c>
      <c r="V269" s="2">
        <v>11.8972</v>
      </c>
      <c r="W269" s="2">
        <v>10.806599999999998</v>
      </c>
      <c r="X269" s="2">
        <v>5.1668000000000003</v>
      </c>
      <c r="Y269" s="2">
        <v>123.85</v>
      </c>
      <c r="Z269" s="2">
        <v>14.85</v>
      </c>
      <c r="AA269" s="2">
        <v>57.26</v>
      </c>
      <c r="AB269" s="2">
        <v>47.52</v>
      </c>
      <c r="AC269" s="2">
        <v>3.64</v>
      </c>
      <c r="AD269" s="2">
        <v>12.85</v>
      </c>
      <c r="AE269" s="2">
        <v>66.73</v>
      </c>
      <c r="AF269" s="2">
        <v>79.599999999999994</v>
      </c>
      <c r="AG269" s="2">
        <v>62.7</v>
      </c>
      <c r="AH269" s="2">
        <v>16.899999999999999</v>
      </c>
      <c r="AI269" s="2">
        <v>38.71</v>
      </c>
      <c r="AJ269" s="2">
        <v>5.56</v>
      </c>
      <c r="AK269" s="2">
        <v>0.69299999999999995</v>
      </c>
      <c r="AL269" s="2">
        <v>0.68400000000000005</v>
      </c>
      <c r="AM269" s="2">
        <v>1.1040000000000001</v>
      </c>
      <c r="AN269" s="2">
        <v>0.98699999999999999</v>
      </c>
      <c r="AO269" s="2">
        <v>0.47399999999999998</v>
      </c>
      <c r="AP269" s="2">
        <v>0.86499999999999999</v>
      </c>
      <c r="AQ269" s="2">
        <v>1.5680000000000001</v>
      </c>
      <c r="AR269" s="2">
        <v>0.41899999999999998</v>
      </c>
      <c r="AS269" s="2">
        <v>6</v>
      </c>
      <c r="AT269" s="2">
        <v>67.099999999999994</v>
      </c>
      <c r="AU269" s="2">
        <v>1.645</v>
      </c>
      <c r="AV269" s="2">
        <v>2.16</v>
      </c>
      <c r="AW269" s="2">
        <v>3.7999999999999999E-2</v>
      </c>
      <c r="AX269" s="2">
        <v>7.9000000000000001E-2</v>
      </c>
      <c r="AY269" s="2">
        <v>0.88400000000000001</v>
      </c>
      <c r="AZ269" s="2">
        <v>0.18</v>
      </c>
      <c r="BA269" s="2">
        <v>1.41</v>
      </c>
      <c r="BB269" s="2">
        <v>2.6</v>
      </c>
      <c r="BC269" s="2">
        <v>72</v>
      </c>
      <c r="BD269" s="2">
        <v>0.7</v>
      </c>
      <c r="BE269" s="2">
        <v>5.5</v>
      </c>
      <c r="BF269" s="2">
        <v>226</v>
      </c>
      <c r="BG269" s="2">
        <v>82</v>
      </c>
      <c r="BH269" s="2">
        <v>267</v>
      </c>
      <c r="BI269" s="2">
        <v>42</v>
      </c>
      <c r="BJ269" s="2">
        <v>7</v>
      </c>
      <c r="BK269" s="2">
        <v>8.1999999999999993</v>
      </c>
      <c r="BL269" s="2">
        <v>5.8</v>
      </c>
      <c r="BM269" s="2">
        <v>0.8</v>
      </c>
      <c r="BN269" s="2">
        <v>0</v>
      </c>
      <c r="BO269" s="2">
        <v>0.21</v>
      </c>
      <c r="BP269" s="2">
        <v>1.34</v>
      </c>
      <c r="BQ269" s="2">
        <v>0.35</v>
      </c>
    </row>
  </sheetData>
  <sortState xmlns:xlrd2="http://schemas.microsoft.com/office/spreadsheetml/2017/richdata2" ref="A2:BQ269">
    <sortCondition ref="C2:C2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DD78-9CC1-F449-AD74-E60FAAD8F1F3}">
  <dimension ref="A1:F232"/>
  <sheetViews>
    <sheetView workbookViewId="0">
      <pane xSplit="1" ySplit="1" topLeftCell="B147" activePane="bottomRight" state="frozen"/>
      <selection pane="topRight" activeCell="B1" sqref="B1"/>
      <selection pane="bottomLeft" activeCell="A2" sqref="A2"/>
      <selection pane="bottomRight" activeCell="F17" sqref="F17"/>
    </sheetView>
  </sheetViews>
  <sheetFormatPr baseColWidth="10" defaultRowHeight="16" x14ac:dyDescent="0.2"/>
  <cols>
    <col min="2" max="2" width="16.33203125" customWidth="1"/>
    <col min="3" max="3" width="11" bestFit="1" customWidth="1"/>
    <col min="4" max="4" width="11.1640625" bestFit="1" customWidth="1"/>
    <col min="5" max="6" width="11" bestFit="1" customWidth="1"/>
  </cols>
  <sheetData>
    <row r="1" spans="1:6" x14ac:dyDescent="0.2">
      <c r="A1" s="3" t="s">
        <v>29</v>
      </c>
      <c r="B1" s="3" t="s">
        <v>95</v>
      </c>
      <c r="C1" s="3" t="s">
        <v>96</v>
      </c>
      <c r="D1" s="3" t="s">
        <v>97</v>
      </c>
      <c r="E1" s="3" t="s">
        <v>98</v>
      </c>
      <c r="F1" s="3" t="s">
        <v>99</v>
      </c>
    </row>
    <row r="2" spans="1:6" x14ac:dyDescent="0.2">
      <c r="A2" s="4" t="s">
        <v>15</v>
      </c>
      <c r="B2" s="4" t="s">
        <v>100</v>
      </c>
      <c r="C2" s="5">
        <v>0.49574800000000002</v>
      </c>
      <c r="D2" s="6">
        <v>21.246500000000001</v>
      </c>
      <c r="E2" s="6">
        <v>159.36605</v>
      </c>
      <c r="F2" s="6">
        <v>750.08141000000001</v>
      </c>
    </row>
    <row r="3" spans="1:6" x14ac:dyDescent="0.2">
      <c r="A3" s="4" t="s">
        <v>2</v>
      </c>
      <c r="B3" s="4" t="s">
        <v>100</v>
      </c>
      <c r="C3" s="5">
        <v>0.709345</v>
      </c>
      <c r="D3" s="6">
        <v>33.55265</v>
      </c>
      <c r="E3" s="6">
        <v>120.66488</v>
      </c>
      <c r="F3" s="6">
        <v>359.62844999999999</v>
      </c>
    </row>
    <row r="4" spans="1:6" x14ac:dyDescent="0.2">
      <c r="A4" s="4" t="s">
        <v>16</v>
      </c>
      <c r="B4" s="4" t="s">
        <v>100</v>
      </c>
      <c r="C4" s="5">
        <v>0.183895</v>
      </c>
      <c r="D4" s="6">
        <v>47.833599999999997</v>
      </c>
      <c r="E4" s="6">
        <v>274.05790000000002</v>
      </c>
      <c r="F4" s="6">
        <v>572.94018000000005</v>
      </c>
    </row>
    <row r="5" spans="1:6" x14ac:dyDescent="0.2">
      <c r="A5" s="4" t="s">
        <v>18</v>
      </c>
      <c r="B5" s="4" t="s">
        <v>100</v>
      </c>
      <c r="C5" s="5">
        <v>0.79303999999999997</v>
      </c>
      <c r="D5" s="6">
        <v>27.660689999999999</v>
      </c>
      <c r="E5" s="6">
        <v>133.45707999999999</v>
      </c>
      <c r="F5" s="6">
        <v>482.47926000000001</v>
      </c>
    </row>
    <row r="6" spans="1:6" x14ac:dyDescent="0.2">
      <c r="A6" s="4" t="s">
        <v>24</v>
      </c>
      <c r="B6" s="4" t="s">
        <v>100</v>
      </c>
      <c r="C6" s="5">
        <v>0.312413</v>
      </c>
      <c r="D6" s="6">
        <v>40.929090000000002</v>
      </c>
      <c r="E6" s="6">
        <v>210.71360000000001</v>
      </c>
      <c r="F6" s="6">
        <v>514.82601999999997</v>
      </c>
    </row>
    <row r="7" spans="1:6" x14ac:dyDescent="0.2">
      <c r="A7" s="4" t="s">
        <v>22</v>
      </c>
      <c r="B7" s="4" t="s">
        <v>100</v>
      </c>
      <c r="C7" s="5">
        <v>0.20716999999999999</v>
      </c>
      <c r="D7" s="6">
        <v>44.225569999999998</v>
      </c>
      <c r="E7" s="6">
        <v>369.99592000000001</v>
      </c>
      <c r="F7" s="6">
        <v>836.61081999999999</v>
      </c>
    </row>
    <row r="8" spans="1:6" x14ac:dyDescent="0.2">
      <c r="A8" s="4" t="s">
        <v>20</v>
      </c>
      <c r="B8" s="4" t="s">
        <v>100</v>
      </c>
      <c r="C8" s="5">
        <v>0.48119200000000001</v>
      </c>
      <c r="D8" s="7">
        <v>53.143659999999997</v>
      </c>
      <c r="E8" s="6">
        <v>423.46758999999997</v>
      </c>
      <c r="F8" s="6">
        <v>796.83558000000005</v>
      </c>
    </row>
    <row r="9" spans="1:6" x14ac:dyDescent="0.2">
      <c r="A9" s="4" t="s">
        <v>19</v>
      </c>
      <c r="B9" s="4" t="s">
        <v>100</v>
      </c>
      <c r="C9" s="5">
        <v>0.74238300000000002</v>
      </c>
      <c r="D9" s="6">
        <v>23.351400000000002</v>
      </c>
      <c r="E9" s="6">
        <v>158.71095</v>
      </c>
      <c r="F9" s="6">
        <v>679.66341</v>
      </c>
    </row>
    <row r="10" spans="1:6" x14ac:dyDescent="0.2">
      <c r="A10" s="4" t="s">
        <v>21</v>
      </c>
      <c r="B10" s="4" t="s">
        <v>100</v>
      </c>
      <c r="C10" s="5">
        <v>0.92029799999999995</v>
      </c>
      <c r="D10" s="6">
        <v>11.834009999999999</v>
      </c>
      <c r="E10" s="6">
        <v>79.679900000000004</v>
      </c>
      <c r="F10" s="6">
        <v>673.31277</v>
      </c>
    </row>
    <row r="11" spans="1:6" x14ac:dyDescent="0.2">
      <c r="A11" s="4" t="s">
        <v>17</v>
      </c>
      <c r="B11" s="4" t="s">
        <v>100</v>
      </c>
      <c r="C11" s="5">
        <v>0.91664299999999999</v>
      </c>
      <c r="D11" s="6">
        <v>14.587960000000001</v>
      </c>
      <c r="E11" s="6">
        <v>117.94351</v>
      </c>
      <c r="F11" s="6">
        <v>808.49895000000004</v>
      </c>
    </row>
    <row r="12" spans="1:6" x14ac:dyDescent="0.2">
      <c r="A12" s="4" t="s">
        <v>10</v>
      </c>
      <c r="B12" s="4" t="s">
        <v>100</v>
      </c>
      <c r="C12" s="5">
        <v>0.55518699999999999</v>
      </c>
      <c r="D12" s="6">
        <v>43.854669999999999</v>
      </c>
      <c r="E12" s="6">
        <v>199.31037000000001</v>
      </c>
      <c r="F12" s="6">
        <v>454.47917999999999</v>
      </c>
    </row>
    <row r="13" spans="1:6" x14ac:dyDescent="0.2">
      <c r="A13" s="4" t="s">
        <v>9</v>
      </c>
      <c r="B13" s="4" t="s">
        <v>100</v>
      </c>
      <c r="C13" s="5">
        <v>0.75450700000000004</v>
      </c>
      <c r="D13" s="6">
        <v>32.054009999999998</v>
      </c>
      <c r="E13" s="6">
        <v>175.53697</v>
      </c>
      <c r="F13" s="6">
        <v>547.62872000000004</v>
      </c>
    </row>
    <row r="14" spans="1:6" x14ac:dyDescent="0.2">
      <c r="A14" s="4" t="s">
        <v>23</v>
      </c>
      <c r="B14" s="4" t="s">
        <v>100</v>
      </c>
      <c r="C14" s="5">
        <v>0.50802800000000004</v>
      </c>
      <c r="D14" s="6">
        <v>22.225639999999999</v>
      </c>
      <c r="E14" s="6">
        <v>180.15871999999999</v>
      </c>
      <c r="F14" s="6">
        <v>810.58964000000003</v>
      </c>
    </row>
    <row r="15" spans="1:6" x14ac:dyDescent="0.2">
      <c r="A15" s="4" t="s">
        <v>6</v>
      </c>
      <c r="B15" s="4" t="s">
        <v>100</v>
      </c>
      <c r="C15" s="5">
        <v>0.84015700000000004</v>
      </c>
      <c r="D15" s="6">
        <v>25.218730000000001</v>
      </c>
      <c r="E15" s="6">
        <v>88.46566</v>
      </c>
      <c r="F15" s="6">
        <v>350.79351000000003</v>
      </c>
    </row>
    <row r="16" spans="1:6" x14ac:dyDescent="0.2">
      <c r="A16" s="4" t="s">
        <v>1</v>
      </c>
      <c r="B16" s="4" t="s">
        <v>100</v>
      </c>
      <c r="C16" s="5">
        <v>0.41548400000000002</v>
      </c>
      <c r="D16" s="6">
        <v>31.201409999999999</v>
      </c>
      <c r="E16" s="6">
        <v>280.35426000000001</v>
      </c>
      <c r="F16" s="6">
        <v>898.53084999999999</v>
      </c>
    </row>
    <row r="17" spans="1:6" x14ac:dyDescent="0.2">
      <c r="A17" s="4" t="s">
        <v>11</v>
      </c>
      <c r="B17" s="4" t="s">
        <v>100</v>
      </c>
      <c r="C17" s="5">
        <v>0.45483499999999999</v>
      </c>
      <c r="D17" s="6">
        <v>41.071950000000001</v>
      </c>
      <c r="E17" s="6">
        <v>181.57314</v>
      </c>
      <c r="F17" s="6">
        <v>442.08551</v>
      </c>
    </row>
    <row r="18" spans="1:6" x14ac:dyDescent="0.2">
      <c r="A18" s="4" t="s">
        <v>13</v>
      </c>
      <c r="B18" s="4" t="s">
        <v>100</v>
      </c>
      <c r="C18" s="5">
        <v>0.62268599999999996</v>
      </c>
      <c r="D18" s="6">
        <v>23.410810000000001</v>
      </c>
      <c r="E18" s="6">
        <v>188.90209999999999</v>
      </c>
      <c r="F18" s="6">
        <v>806.90108999999995</v>
      </c>
    </row>
    <row r="19" spans="1:6" x14ac:dyDescent="0.2">
      <c r="A19" s="4" t="s">
        <v>4</v>
      </c>
      <c r="B19" s="4" t="s">
        <v>100</v>
      </c>
      <c r="C19" s="5">
        <v>0.66505400000000003</v>
      </c>
      <c r="D19" s="6">
        <v>18.740169999999999</v>
      </c>
      <c r="E19" s="6">
        <v>154.73848000000001</v>
      </c>
      <c r="F19" s="6">
        <v>825.70483999999999</v>
      </c>
    </row>
    <row r="20" spans="1:6" x14ac:dyDescent="0.2">
      <c r="A20" s="4" t="s">
        <v>12</v>
      </c>
      <c r="B20" s="4" t="s">
        <v>100</v>
      </c>
      <c r="C20" s="5">
        <v>0.28545199999999998</v>
      </c>
      <c r="D20" s="6">
        <v>22.900079999999999</v>
      </c>
      <c r="E20" s="6">
        <v>157.83875</v>
      </c>
      <c r="F20" s="6">
        <v>689.24976000000004</v>
      </c>
    </row>
    <row r="21" spans="1:6" x14ac:dyDescent="0.2">
      <c r="A21" s="4" t="s">
        <v>25</v>
      </c>
      <c r="B21" s="4" t="s">
        <v>100</v>
      </c>
      <c r="C21" s="5">
        <v>0.82269700000000001</v>
      </c>
      <c r="D21" s="6">
        <v>17.945309999999999</v>
      </c>
      <c r="E21" s="6">
        <v>106.30653</v>
      </c>
      <c r="F21" s="6">
        <v>592.39178000000004</v>
      </c>
    </row>
    <row r="22" spans="1:6" s="11" customFormat="1" x14ac:dyDescent="0.2">
      <c r="A22" s="8" t="s">
        <v>8</v>
      </c>
      <c r="B22" s="8" t="s">
        <v>100</v>
      </c>
      <c r="C22" s="9">
        <v>0.820133</v>
      </c>
      <c r="D22" s="10">
        <v>30.033370000000001</v>
      </c>
      <c r="E22" s="10">
        <v>172.61233999999999</v>
      </c>
      <c r="F22" s="10">
        <v>574.73526000000004</v>
      </c>
    </row>
    <row r="23" spans="1:6" x14ac:dyDescent="0.2">
      <c r="A23" s="4" t="s">
        <v>15</v>
      </c>
      <c r="B23" s="4" t="s">
        <v>101</v>
      </c>
      <c r="C23" s="5">
        <v>0.29054400000000002</v>
      </c>
      <c r="D23" s="6">
        <v>23.327259999999999</v>
      </c>
      <c r="E23" s="6">
        <v>151.31786</v>
      </c>
      <c r="F23" s="6">
        <v>648.67385000000002</v>
      </c>
    </row>
    <row r="24" spans="1:6" x14ac:dyDescent="0.2">
      <c r="A24" s="4" t="s">
        <v>2</v>
      </c>
      <c r="B24" s="4" t="s">
        <v>101</v>
      </c>
      <c r="C24" s="5">
        <v>0.54300199999999998</v>
      </c>
      <c r="D24" s="6">
        <v>49.977370000000001</v>
      </c>
      <c r="E24" s="6">
        <v>173.16061999999999</v>
      </c>
      <c r="F24" s="6">
        <v>346.47809999999998</v>
      </c>
    </row>
    <row r="25" spans="1:6" x14ac:dyDescent="0.2">
      <c r="A25" s="4" t="s">
        <v>16</v>
      </c>
      <c r="B25" s="4" t="s">
        <v>101</v>
      </c>
      <c r="C25" s="5">
        <v>0.34340700000000002</v>
      </c>
      <c r="D25" s="6">
        <v>45.83643</v>
      </c>
      <c r="E25" s="6">
        <v>259.10050999999999</v>
      </c>
      <c r="F25" s="6">
        <v>565.27197000000001</v>
      </c>
    </row>
    <row r="26" spans="1:6" x14ac:dyDescent="0.2">
      <c r="A26" s="4" t="s">
        <v>18</v>
      </c>
      <c r="B26" s="4" t="s">
        <v>101</v>
      </c>
      <c r="C26" s="5">
        <v>0.86611000000000005</v>
      </c>
      <c r="D26" s="6">
        <v>23.055679999999999</v>
      </c>
      <c r="E26" s="6">
        <v>101.32783000000001</v>
      </c>
      <c r="F26" s="6">
        <v>439.49173999999999</v>
      </c>
    </row>
    <row r="27" spans="1:6" x14ac:dyDescent="0.2">
      <c r="A27" s="4" t="s">
        <v>24</v>
      </c>
      <c r="B27" s="4" t="s">
        <v>101</v>
      </c>
      <c r="C27" s="5">
        <v>0.53234300000000001</v>
      </c>
      <c r="D27" s="6">
        <v>24.21669</v>
      </c>
      <c r="E27" s="6">
        <v>133.49020999999999</v>
      </c>
      <c r="F27" s="6">
        <v>551.23221999999998</v>
      </c>
    </row>
    <row r="28" spans="1:6" x14ac:dyDescent="0.2">
      <c r="A28" s="4" t="s">
        <v>22</v>
      </c>
      <c r="B28" s="4" t="s">
        <v>101</v>
      </c>
      <c r="C28" s="5">
        <v>0.57775299999999996</v>
      </c>
      <c r="D28" s="6">
        <v>32.218420000000002</v>
      </c>
      <c r="E28" s="6">
        <v>223.50281000000001</v>
      </c>
      <c r="F28" s="6">
        <v>693.71127000000001</v>
      </c>
    </row>
    <row r="29" spans="1:6" x14ac:dyDescent="0.2">
      <c r="A29" s="4" t="s">
        <v>20</v>
      </c>
      <c r="B29" s="4" t="s">
        <v>101</v>
      </c>
      <c r="C29" s="5">
        <v>0.66156199999999998</v>
      </c>
      <c r="D29" s="6">
        <v>26.281639999999999</v>
      </c>
      <c r="E29" s="6">
        <v>172.30792</v>
      </c>
      <c r="F29" s="6">
        <v>655.62077999999997</v>
      </c>
    </row>
    <row r="30" spans="1:6" x14ac:dyDescent="0.2">
      <c r="A30" s="4" t="s">
        <v>19</v>
      </c>
      <c r="B30" s="4" t="s">
        <v>101</v>
      </c>
      <c r="C30" s="5">
        <v>0.59238400000000002</v>
      </c>
      <c r="D30" s="6">
        <v>30.873899999999999</v>
      </c>
      <c r="E30" s="6">
        <v>205.03388000000001</v>
      </c>
      <c r="F30" s="6">
        <v>664.101</v>
      </c>
    </row>
    <row r="31" spans="1:6" x14ac:dyDescent="0.2">
      <c r="A31" s="4" t="s">
        <v>21</v>
      </c>
      <c r="B31" s="4" t="s">
        <v>101</v>
      </c>
      <c r="C31" s="5">
        <v>0.794184</v>
      </c>
      <c r="D31" s="6">
        <v>22.866510000000002</v>
      </c>
      <c r="E31" s="6">
        <v>140.18603999999999</v>
      </c>
      <c r="F31" s="6">
        <v>613.06271000000004</v>
      </c>
    </row>
    <row r="32" spans="1:6" x14ac:dyDescent="0.2">
      <c r="A32" s="4" t="s">
        <v>17</v>
      </c>
      <c r="B32" s="4" t="s">
        <v>101</v>
      </c>
      <c r="C32" s="5">
        <v>0.50786600000000004</v>
      </c>
      <c r="D32" s="6">
        <v>29.248729999999998</v>
      </c>
      <c r="E32" s="6">
        <v>246.86462</v>
      </c>
      <c r="F32" s="6">
        <v>844.01823999999999</v>
      </c>
    </row>
    <row r="33" spans="1:6" x14ac:dyDescent="0.2">
      <c r="A33" s="4" t="s">
        <v>10</v>
      </c>
      <c r="B33" s="4" t="s">
        <v>101</v>
      </c>
      <c r="C33" s="5">
        <v>0.60553500000000005</v>
      </c>
      <c r="D33" s="6">
        <v>36.854849999999999</v>
      </c>
      <c r="E33" s="6">
        <v>151.35075000000001</v>
      </c>
      <c r="F33" s="6">
        <v>410.6671</v>
      </c>
    </row>
    <row r="34" spans="1:6" x14ac:dyDescent="0.2">
      <c r="A34" s="4" t="s">
        <v>9</v>
      </c>
      <c r="B34" s="4" t="s">
        <v>101</v>
      </c>
      <c r="C34" s="5">
        <v>0.499195</v>
      </c>
      <c r="D34" s="6">
        <v>45.667000000000002</v>
      </c>
      <c r="E34" s="6">
        <v>225.97096999999999</v>
      </c>
      <c r="F34" s="6">
        <v>494.82333999999997</v>
      </c>
    </row>
    <row r="35" spans="1:6" x14ac:dyDescent="0.2">
      <c r="A35" s="4" t="s">
        <v>23</v>
      </c>
      <c r="B35" s="4" t="s">
        <v>101</v>
      </c>
      <c r="C35" s="5">
        <v>0.65703599999999995</v>
      </c>
      <c r="D35" s="6">
        <v>15.91066</v>
      </c>
      <c r="E35" s="6">
        <v>124.78165</v>
      </c>
      <c r="F35" s="6">
        <v>784.26423999999997</v>
      </c>
    </row>
    <row r="36" spans="1:6" x14ac:dyDescent="0.2">
      <c r="A36" s="4" t="s">
        <v>6</v>
      </c>
      <c r="B36" s="4" t="s">
        <v>101</v>
      </c>
      <c r="C36" s="5">
        <v>0.68496699999999999</v>
      </c>
      <c r="D36" s="6">
        <v>32.470950000000002</v>
      </c>
      <c r="E36" s="6">
        <v>83.732399999999998</v>
      </c>
      <c r="F36" s="6">
        <v>257.86869000000002</v>
      </c>
    </row>
    <row r="37" spans="1:6" x14ac:dyDescent="0.2">
      <c r="A37" s="4" t="s">
        <v>1</v>
      </c>
      <c r="B37" s="4" t="s">
        <v>101</v>
      </c>
      <c r="C37" s="5">
        <v>0.35694300000000001</v>
      </c>
      <c r="D37" s="6">
        <v>40.154919999999997</v>
      </c>
      <c r="E37" s="6">
        <v>293.93256000000002</v>
      </c>
      <c r="F37" s="6">
        <v>731.99644999999998</v>
      </c>
    </row>
    <row r="38" spans="1:6" x14ac:dyDescent="0.2">
      <c r="A38" s="4" t="s">
        <v>11</v>
      </c>
      <c r="B38" s="4" t="s">
        <v>101</v>
      </c>
      <c r="C38" s="5">
        <v>0.38609700000000002</v>
      </c>
      <c r="D38" s="6">
        <v>37.521859999999997</v>
      </c>
      <c r="E38" s="6">
        <v>146.04647</v>
      </c>
      <c r="F38" s="6">
        <v>389.23030999999997</v>
      </c>
    </row>
    <row r="39" spans="1:6" x14ac:dyDescent="0.2">
      <c r="A39" s="4" t="s">
        <v>13</v>
      </c>
      <c r="B39" s="4" t="s">
        <v>101</v>
      </c>
      <c r="C39" s="5">
        <v>0.75531099999999995</v>
      </c>
      <c r="D39" s="6">
        <v>24.757159999999999</v>
      </c>
      <c r="E39" s="6">
        <v>188.31142</v>
      </c>
      <c r="F39" s="6">
        <v>760.63431000000003</v>
      </c>
    </row>
    <row r="40" spans="1:6" x14ac:dyDescent="0.2">
      <c r="A40" s="4" t="s">
        <v>4</v>
      </c>
      <c r="B40" s="4" t="s">
        <v>101</v>
      </c>
      <c r="C40" s="5">
        <v>0.18921399999999999</v>
      </c>
      <c r="D40" s="6">
        <v>30.620059999999999</v>
      </c>
      <c r="E40" s="6">
        <v>217.39117999999999</v>
      </c>
      <c r="F40" s="6">
        <v>709.96334000000002</v>
      </c>
    </row>
    <row r="41" spans="1:6" x14ac:dyDescent="0.2">
      <c r="A41" s="4" t="s">
        <v>12</v>
      </c>
      <c r="B41" s="4" t="s">
        <v>101</v>
      </c>
      <c r="C41" s="5">
        <v>0.31602599999999997</v>
      </c>
      <c r="D41" s="6">
        <v>46.468800000000002</v>
      </c>
      <c r="E41" s="6">
        <v>285.65575000000001</v>
      </c>
      <c r="F41" s="6">
        <v>614.72589000000005</v>
      </c>
    </row>
    <row r="42" spans="1:6" x14ac:dyDescent="0.2">
      <c r="A42" s="4" t="s">
        <v>25</v>
      </c>
      <c r="B42" s="4" t="s">
        <v>101</v>
      </c>
      <c r="C42" s="5">
        <v>0.83053399999999999</v>
      </c>
      <c r="D42" s="6">
        <v>17.31148</v>
      </c>
      <c r="E42" s="6">
        <v>99.735389999999995</v>
      </c>
      <c r="F42" s="6">
        <v>576.12276999999995</v>
      </c>
    </row>
    <row r="43" spans="1:6" s="11" customFormat="1" x14ac:dyDescent="0.2">
      <c r="A43" s="8" t="s">
        <v>8</v>
      </c>
      <c r="B43" s="8" t="s">
        <v>101</v>
      </c>
      <c r="C43" s="9">
        <v>0.71757099999999996</v>
      </c>
      <c r="D43" s="10">
        <v>41.94641</v>
      </c>
      <c r="E43" s="10">
        <v>217.75808000000001</v>
      </c>
      <c r="F43" s="10">
        <v>519.13401999999996</v>
      </c>
    </row>
    <row r="44" spans="1:6" x14ac:dyDescent="0.2">
      <c r="A44" s="4" t="s">
        <v>15</v>
      </c>
      <c r="B44" s="4" t="s">
        <v>102</v>
      </c>
      <c r="C44" s="5">
        <v>0.27537699999999998</v>
      </c>
      <c r="D44" s="6">
        <v>26.268409999999999</v>
      </c>
      <c r="E44" s="6">
        <v>286.47100999999998</v>
      </c>
      <c r="F44" s="6">
        <v>1091</v>
      </c>
    </row>
    <row r="45" spans="1:6" x14ac:dyDescent="0.2">
      <c r="A45" s="4" t="s">
        <v>2</v>
      </c>
      <c r="B45" s="4" t="s">
        <v>102</v>
      </c>
      <c r="C45" s="5">
        <v>0.55781499999999995</v>
      </c>
      <c r="D45" s="6">
        <v>37.937449999999998</v>
      </c>
      <c r="E45" s="6">
        <v>197.44275999999999</v>
      </c>
      <c r="F45" s="6">
        <v>520.44284000000005</v>
      </c>
    </row>
    <row r="46" spans="1:6" x14ac:dyDescent="0.2">
      <c r="A46" s="4" t="s">
        <v>16</v>
      </c>
      <c r="B46" s="4" t="s">
        <v>102</v>
      </c>
      <c r="C46" s="5">
        <v>0.186061</v>
      </c>
      <c r="D46" s="6">
        <v>43.217080000000003</v>
      </c>
      <c r="E46" s="6">
        <v>379.20323999999999</v>
      </c>
      <c r="F46" s="6">
        <v>877.43835999999999</v>
      </c>
    </row>
    <row r="47" spans="1:6" x14ac:dyDescent="0.2">
      <c r="A47" s="4" t="s">
        <v>18</v>
      </c>
      <c r="B47" s="4" t="s">
        <v>102</v>
      </c>
      <c r="C47" s="5">
        <v>0.74416099999999996</v>
      </c>
      <c r="D47" s="6">
        <v>34.060490000000001</v>
      </c>
      <c r="E47" s="6">
        <v>229.18096</v>
      </c>
      <c r="F47" s="6">
        <v>672.86443999999995</v>
      </c>
    </row>
    <row r="48" spans="1:6" x14ac:dyDescent="0.2">
      <c r="A48" s="4" t="s">
        <v>24</v>
      </c>
      <c r="B48" s="4" t="s">
        <v>102</v>
      </c>
      <c r="C48" s="5">
        <v>0.46266699999999999</v>
      </c>
      <c r="D48" s="6">
        <v>36.724409999999999</v>
      </c>
      <c r="E48" s="6">
        <v>289.29482000000002</v>
      </c>
      <c r="F48" s="6">
        <v>787.74525000000006</v>
      </c>
    </row>
    <row r="49" spans="1:6" x14ac:dyDescent="0.2">
      <c r="A49" s="4" t="s">
        <v>22</v>
      </c>
      <c r="B49" s="4" t="s">
        <v>102</v>
      </c>
      <c r="C49" s="5">
        <v>0.25300800000000001</v>
      </c>
      <c r="D49" s="6">
        <v>41.915059999999997</v>
      </c>
      <c r="E49" s="6">
        <v>507.66833000000003</v>
      </c>
      <c r="F49" s="6">
        <v>1211</v>
      </c>
    </row>
    <row r="50" spans="1:6" x14ac:dyDescent="0.2">
      <c r="A50" s="4" t="s">
        <v>20</v>
      </c>
      <c r="B50" s="4" t="s">
        <v>102</v>
      </c>
      <c r="C50" s="5">
        <v>0.48915599999999998</v>
      </c>
      <c r="D50" s="6">
        <v>43.29954</v>
      </c>
      <c r="E50" s="6">
        <v>473.51112000000001</v>
      </c>
      <c r="F50" s="6">
        <v>1094</v>
      </c>
    </row>
    <row r="51" spans="1:6" x14ac:dyDescent="0.2">
      <c r="A51" s="4" t="s">
        <v>19</v>
      </c>
      <c r="B51" s="4" t="s">
        <v>102</v>
      </c>
      <c r="C51" s="5">
        <v>0.60011899999999996</v>
      </c>
      <c r="D51" s="6">
        <v>33.287750000000003</v>
      </c>
      <c r="E51" s="6">
        <v>347.76416</v>
      </c>
      <c r="F51" s="6">
        <v>1045</v>
      </c>
    </row>
    <row r="52" spans="1:6" x14ac:dyDescent="0.2">
      <c r="A52" s="4" t="s">
        <v>21</v>
      </c>
      <c r="B52" s="4" t="s">
        <v>102</v>
      </c>
      <c r="C52" s="5">
        <v>0.90206399999999998</v>
      </c>
      <c r="D52" s="6">
        <v>12.722149999999999</v>
      </c>
      <c r="E52" s="6">
        <v>129.57575</v>
      </c>
      <c r="F52" s="6">
        <v>1019</v>
      </c>
    </row>
    <row r="53" spans="1:6" x14ac:dyDescent="0.2">
      <c r="A53" s="4" t="s">
        <v>17</v>
      </c>
      <c r="B53" s="4" t="s">
        <v>102</v>
      </c>
      <c r="C53" s="5">
        <v>0.95270200000000005</v>
      </c>
      <c r="D53" s="6">
        <v>10.474170000000001</v>
      </c>
      <c r="E53" s="6">
        <v>134.75462999999999</v>
      </c>
      <c r="F53" s="6">
        <v>1287</v>
      </c>
    </row>
    <row r="54" spans="1:6" x14ac:dyDescent="0.2">
      <c r="A54" s="4" t="s">
        <v>10</v>
      </c>
      <c r="B54" s="4" t="s">
        <v>102</v>
      </c>
      <c r="C54" s="5">
        <v>0.49498900000000001</v>
      </c>
      <c r="D54" s="6">
        <v>48.909700000000001</v>
      </c>
      <c r="E54" s="6">
        <v>333.79804000000001</v>
      </c>
      <c r="F54" s="6">
        <v>682.47814000000005</v>
      </c>
    </row>
    <row r="55" spans="1:6" x14ac:dyDescent="0.2">
      <c r="A55" s="4" t="s">
        <v>9</v>
      </c>
      <c r="B55" s="4" t="s">
        <v>102</v>
      </c>
      <c r="C55" s="5">
        <v>0.701322</v>
      </c>
      <c r="D55" s="6">
        <v>35.695279999999997</v>
      </c>
      <c r="E55" s="6">
        <v>288.92784999999998</v>
      </c>
      <c r="F55" s="6">
        <v>809.42877999999996</v>
      </c>
    </row>
    <row r="56" spans="1:6" x14ac:dyDescent="0.2">
      <c r="A56" s="4" t="s">
        <v>23</v>
      </c>
      <c r="B56" s="4" t="s">
        <v>102</v>
      </c>
      <c r="C56" s="5">
        <v>0.50991600000000004</v>
      </c>
      <c r="D56" s="6">
        <v>23.06963</v>
      </c>
      <c r="E56" s="6">
        <v>309.83591999999999</v>
      </c>
      <c r="F56" s="6">
        <v>1343</v>
      </c>
    </row>
    <row r="57" spans="1:6" x14ac:dyDescent="0.2">
      <c r="A57" s="4" t="s">
        <v>6</v>
      </c>
      <c r="B57" s="4" t="s">
        <v>102</v>
      </c>
      <c r="C57" s="5">
        <v>0.78189600000000004</v>
      </c>
      <c r="D57" s="6">
        <v>27.868549999999999</v>
      </c>
      <c r="E57" s="6">
        <v>137.83958999999999</v>
      </c>
      <c r="F57" s="6">
        <v>494.60617999999999</v>
      </c>
    </row>
    <row r="58" spans="1:6" x14ac:dyDescent="0.2">
      <c r="A58" s="4" t="s">
        <v>1</v>
      </c>
      <c r="B58" s="4" t="s">
        <v>102</v>
      </c>
      <c r="C58" s="5">
        <v>0.52597499999999997</v>
      </c>
      <c r="D58" s="6">
        <v>26.317250000000001</v>
      </c>
      <c r="E58" s="6">
        <v>353.90544999999997</v>
      </c>
      <c r="F58" s="6">
        <v>1345</v>
      </c>
    </row>
    <row r="59" spans="1:6" x14ac:dyDescent="0.2">
      <c r="A59" s="4" t="s">
        <v>11</v>
      </c>
      <c r="B59" s="4" t="s">
        <v>102</v>
      </c>
      <c r="C59" s="5">
        <v>0.570797</v>
      </c>
      <c r="D59" s="6">
        <v>34.78152</v>
      </c>
      <c r="E59" s="6">
        <v>229.74109000000001</v>
      </c>
      <c r="F59" s="6">
        <v>660.52637000000004</v>
      </c>
    </row>
    <row r="60" spans="1:6" x14ac:dyDescent="0.2">
      <c r="A60" s="4" t="s">
        <v>13</v>
      </c>
      <c r="B60" s="4" t="s">
        <v>102</v>
      </c>
      <c r="C60" s="5">
        <v>0.64101699999999995</v>
      </c>
      <c r="D60" s="6">
        <v>23.015540000000001</v>
      </c>
      <c r="E60" s="6">
        <v>291.30977000000001</v>
      </c>
      <c r="F60" s="6">
        <v>1266</v>
      </c>
    </row>
    <row r="61" spans="1:6" x14ac:dyDescent="0.2">
      <c r="A61" s="4" t="s">
        <v>4</v>
      </c>
      <c r="B61" s="4" t="s">
        <v>102</v>
      </c>
      <c r="C61" s="5">
        <v>0.46246100000000001</v>
      </c>
      <c r="D61" s="6">
        <v>21.879950000000001</v>
      </c>
      <c r="E61" s="6">
        <v>274.81056999999998</v>
      </c>
      <c r="F61" s="6">
        <v>1256</v>
      </c>
    </row>
    <row r="62" spans="1:6" x14ac:dyDescent="0.2">
      <c r="A62" s="4" t="s">
        <v>12</v>
      </c>
      <c r="B62" s="4" t="s">
        <v>102</v>
      </c>
      <c r="C62" s="5">
        <v>0.41968100000000003</v>
      </c>
      <c r="D62" s="6">
        <v>23.717410000000001</v>
      </c>
      <c r="E62" s="6">
        <v>234.92617000000001</v>
      </c>
      <c r="F62" s="6">
        <v>990.52207999999996</v>
      </c>
    </row>
    <row r="63" spans="1:6" x14ac:dyDescent="0.2">
      <c r="A63" s="4" t="s">
        <v>25</v>
      </c>
      <c r="B63" s="4" t="s">
        <v>102</v>
      </c>
      <c r="C63" s="5">
        <v>0.63681699999999997</v>
      </c>
      <c r="D63" s="6">
        <v>17.788599999999999</v>
      </c>
      <c r="E63" s="6">
        <v>149.47246999999999</v>
      </c>
      <c r="F63" s="6">
        <v>840.27116999999998</v>
      </c>
    </row>
    <row r="64" spans="1:6" s="11" customFormat="1" x14ac:dyDescent="0.2">
      <c r="A64" s="8" t="s">
        <v>8</v>
      </c>
      <c r="B64" s="8" t="s">
        <v>102</v>
      </c>
      <c r="C64" s="9">
        <v>0.71877800000000003</v>
      </c>
      <c r="D64" s="10">
        <v>37.329320000000003</v>
      </c>
      <c r="E64" s="10">
        <v>310.78280000000001</v>
      </c>
      <c r="F64" s="10">
        <v>832.54336999999998</v>
      </c>
    </row>
    <row r="65" spans="1:6" x14ac:dyDescent="0.2">
      <c r="A65" s="4" t="s">
        <v>15</v>
      </c>
      <c r="B65" s="4" t="s">
        <v>103</v>
      </c>
      <c r="C65" s="5">
        <v>0.28203800000000001</v>
      </c>
      <c r="D65" s="6">
        <v>26.15757</v>
      </c>
      <c r="E65" s="6">
        <v>253.03095999999999</v>
      </c>
      <c r="F65" s="6">
        <v>967.33363999999995</v>
      </c>
    </row>
    <row r="66" spans="1:6" x14ac:dyDescent="0.2">
      <c r="A66" s="4" t="s">
        <v>2</v>
      </c>
      <c r="B66" s="4" t="s">
        <v>103</v>
      </c>
      <c r="C66" s="5">
        <v>0.40988599999999997</v>
      </c>
      <c r="D66" s="6">
        <v>59.422199999999997</v>
      </c>
      <c r="E66" s="6">
        <v>293.48268000000002</v>
      </c>
      <c r="F66" s="6">
        <v>493.89400999999998</v>
      </c>
    </row>
    <row r="67" spans="1:6" x14ac:dyDescent="0.2">
      <c r="A67" s="4" t="s">
        <v>16</v>
      </c>
      <c r="B67" s="4" t="s">
        <v>103</v>
      </c>
      <c r="C67" s="5">
        <v>0.28117199999999998</v>
      </c>
      <c r="D67" s="6">
        <v>43.58137</v>
      </c>
      <c r="E67" s="6">
        <v>385.93002999999999</v>
      </c>
      <c r="F67" s="6">
        <v>885.53907000000004</v>
      </c>
    </row>
    <row r="68" spans="1:6" x14ac:dyDescent="0.2">
      <c r="A68" s="4" t="s">
        <v>18</v>
      </c>
      <c r="B68" s="4" t="s">
        <v>103</v>
      </c>
      <c r="C68" s="5">
        <v>0.89859199999999995</v>
      </c>
      <c r="D68" s="6">
        <v>21.730149999999998</v>
      </c>
      <c r="E68" s="6">
        <v>133.22647000000001</v>
      </c>
      <c r="F68" s="6">
        <v>613.09502999999995</v>
      </c>
    </row>
    <row r="69" spans="1:6" x14ac:dyDescent="0.2">
      <c r="A69" s="4" t="s">
        <v>24</v>
      </c>
      <c r="B69" s="4" t="s">
        <v>103</v>
      </c>
      <c r="C69" s="5">
        <v>0.64756400000000003</v>
      </c>
      <c r="D69" s="6">
        <v>25.107019999999999</v>
      </c>
      <c r="E69" s="6">
        <v>201.73878999999999</v>
      </c>
      <c r="F69" s="6">
        <v>803.51553999999999</v>
      </c>
    </row>
    <row r="70" spans="1:6" x14ac:dyDescent="0.2">
      <c r="A70" s="4" t="s">
        <v>22</v>
      </c>
      <c r="B70" s="4" t="s">
        <v>103</v>
      </c>
      <c r="C70" s="5">
        <v>0.56603000000000003</v>
      </c>
      <c r="D70" s="6">
        <v>34.51605</v>
      </c>
      <c r="E70" s="6">
        <v>361.55182000000002</v>
      </c>
      <c r="F70" s="6">
        <v>1047</v>
      </c>
    </row>
    <row r="71" spans="1:6" x14ac:dyDescent="0.2">
      <c r="A71" s="4" t="s">
        <v>20</v>
      </c>
      <c r="B71" s="4" t="s">
        <v>103</v>
      </c>
      <c r="C71" s="5">
        <v>0.75646899999999995</v>
      </c>
      <c r="D71" s="6">
        <v>23.56429</v>
      </c>
      <c r="E71" s="6">
        <v>218.90871000000001</v>
      </c>
      <c r="F71" s="6">
        <v>928.98509000000001</v>
      </c>
    </row>
    <row r="72" spans="1:6" x14ac:dyDescent="0.2">
      <c r="A72" s="4" t="s">
        <v>19</v>
      </c>
      <c r="B72" s="4" t="s">
        <v>103</v>
      </c>
      <c r="C72" s="5">
        <v>0.49906299999999998</v>
      </c>
      <c r="D72" s="6">
        <v>34.076749999999997</v>
      </c>
      <c r="E72" s="6">
        <v>328.16532000000001</v>
      </c>
      <c r="F72" s="6">
        <v>963.01817000000005</v>
      </c>
    </row>
    <row r="73" spans="1:6" x14ac:dyDescent="0.2">
      <c r="A73" s="4" t="s">
        <v>21</v>
      </c>
      <c r="B73" s="4" t="s">
        <v>103</v>
      </c>
      <c r="C73" s="5">
        <v>0.86369499999999999</v>
      </c>
      <c r="D73" s="6">
        <v>17.314129999999999</v>
      </c>
      <c r="E73" s="6">
        <v>162.40434999999999</v>
      </c>
      <c r="F73" s="6">
        <v>937.98726999999997</v>
      </c>
    </row>
    <row r="74" spans="1:6" x14ac:dyDescent="0.2">
      <c r="A74" s="4" t="s">
        <v>17</v>
      </c>
      <c r="B74" s="4" t="s">
        <v>103</v>
      </c>
      <c r="C74" s="5">
        <v>0.80739899999999998</v>
      </c>
      <c r="D74" s="6">
        <v>17.488189999999999</v>
      </c>
      <c r="E74" s="6">
        <v>225.57656</v>
      </c>
      <c r="F74" s="6">
        <v>1290</v>
      </c>
    </row>
    <row r="75" spans="1:6" x14ac:dyDescent="0.2">
      <c r="A75" s="4" t="s">
        <v>10</v>
      </c>
      <c r="B75" s="4" t="s">
        <v>103</v>
      </c>
      <c r="C75" s="5">
        <v>0.53618200000000005</v>
      </c>
      <c r="D75" s="6">
        <v>45.42792</v>
      </c>
      <c r="E75" s="6">
        <v>271.00542000000002</v>
      </c>
      <c r="F75" s="6">
        <v>596.56136000000004</v>
      </c>
    </row>
    <row r="76" spans="1:6" x14ac:dyDescent="0.2">
      <c r="A76" s="4" t="s">
        <v>9</v>
      </c>
      <c r="B76" s="4" t="s">
        <v>103</v>
      </c>
      <c r="C76" s="5">
        <v>0.43239899999999998</v>
      </c>
      <c r="D76" s="6">
        <v>48.57152</v>
      </c>
      <c r="E76" s="6">
        <v>356.47032000000002</v>
      </c>
      <c r="F76" s="6">
        <v>733.90818000000002</v>
      </c>
    </row>
    <row r="77" spans="1:6" x14ac:dyDescent="0.2">
      <c r="A77" s="4" t="s">
        <v>23</v>
      </c>
      <c r="B77" s="4" t="s">
        <v>103</v>
      </c>
      <c r="C77" s="5">
        <v>0.71561799999999998</v>
      </c>
      <c r="D77" s="6">
        <v>17.903359999999999</v>
      </c>
      <c r="E77" s="6">
        <v>231.49471</v>
      </c>
      <c r="F77" s="6">
        <v>1293</v>
      </c>
    </row>
    <row r="78" spans="1:6" x14ac:dyDescent="0.2">
      <c r="A78" s="4" t="s">
        <v>6</v>
      </c>
      <c r="B78" s="4" t="s">
        <v>103</v>
      </c>
      <c r="C78" s="5">
        <v>0.70762700000000001</v>
      </c>
      <c r="D78" s="6">
        <v>27.513459999999998</v>
      </c>
      <c r="E78" s="6">
        <v>105.62761999999999</v>
      </c>
      <c r="F78" s="6">
        <v>383.91255999999998</v>
      </c>
    </row>
    <row r="79" spans="1:6" x14ac:dyDescent="0.2">
      <c r="A79" s="4" t="s">
        <v>1</v>
      </c>
      <c r="B79" s="4" t="s">
        <v>103</v>
      </c>
      <c r="C79" s="5">
        <v>0.37569900000000001</v>
      </c>
      <c r="D79" s="6">
        <v>36.843060000000001</v>
      </c>
      <c r="E79" s="6">
        <v>414.94488000000001</v>
      </c>
      <c r="F79" s="6">
        <v>1126</v>
      </c>
    </row>
    <row r="80" spans="1:6" x14ac:dyDescent="0.2">
      <c r="A80" s="4" t="s">
        <v>11</v>
      </c>
      <c r="B80" s="4" t="s">
        <v>103</v>
      </c>
      <c r="C80" s="5">
        <v>0.43130299999999999</v>
      </c>
      <c r="D80" s="6">
        <v>36.726500000000001</v>
      </c>
      <c r="E80" s="6">
        <v>204.88901000000001</v>
      </c>
      <c r="F80" s="6">
        <v>557.87786000000006</v>
      </c>
    </row>
    <row r="81" spans="1:6" x14ac:dyDescent="0.2">
      <c r="A81" s="4" t="s">
        <v>13</v>
      </c>
      <c r="B81" s="4" t="s">
        <v>103</v>
      </c>
      <c r="C81" s="5">
        <v>0.87268400000000002</v>
      </c>
      <c r="D81" s="6">
        <v>16.138529999999999</v>
      </c>
      <c r="E81" s="6">
        <v>189.50473</v>
      </c>
      <c r="F81" s="6">
        <v>1174</v>
      </c>
    </row>
    <row r="82" spans="1:6" x14ac:dyDescent="0.2">
      <c r="A82" s="4" t="s">
        <v>4</v>
      </c>
      <c r="B82" s="4" t="s">
        <v>103</v>
      </c>
      <c r="C82" s="5">
        <v>0.17976300000000001</v>
      </c>
      <c r="D82" s="6">
        <v>32.963729999999998</v>
      </c>
      <c r="E82" s="6">
        <v>352.72532999999999</v>
      </c>
      <c r="F82" s="6">
        <v>1070</v>
      </c>
    </row>
    <row r="83" spans="1:6" x14ac:dyDescent="0.2">
      <c r="A83" s="4" t="s">
        <v>12</v>
      </c>
      <c r="B83" s="4" t="s">
        <v>103</v>
      </c>
      <c r="C83" s="5">
        <v>0.38403199999999998</v>
      </c>
      <c r="D83" s="6">
        <v>47.700859999999999</v>
      </c>
      <c r="E83" s="6">
        <v>440.96651000000003</v>
      </c>
      <c r="F83" s="6">
        <v>924.44146999999998</v>
      </c>
    </row>
    <row r="84" spans="1:6" x14ac:dyDescent="0.2">
      <c r="A84" s="4" t="s">
        <v>25</v>
      </c>
      <c r="B84" s="4" t="s">
        <v>103</v>
      </c>
      <c r="C84" s="5">
        <v>0.62436999999999998</v>
      </c>
      <c r="D84" s="6">
        <v>20.009910000000001</v>
      </c>
      <c r="E84" s="6">
        <v>160.88109</v>
      </c>
      <c r="F84" s="6">
        <v>804.00694999999996</v>
      </c>
    </row>
    <row r="85" spans="1:6" s="11" customFormat="1" x14ac:dyDescent="0.2">
      <c r="A85" s="8" t="s">
        <v>8</v>
      </c>
      <c r="B85" s="8" t="s">
        <v>103</v>
      </c>
      <c r="C85" s="9">
        <v>0.67689900000000003</v>
      </c>
      <c r="D85" s="10">
        <v>46.109430000000003</v>
      </c>
      <c r="E85" s="10">
        <v>339.78181999999998</v>
      </c>
      <c r="F85" s="10">
        <v>736.90309999999999</v>
      </c>
    </row>
    <row r="86" spans="1:6" x14ac:dyDescent="0.2">
      <c r="A86" s="4" t="s">
        <v>15</v>
      </c>
      <c r="B86" s="4" t="s">
        <v>104</v>
      </c>
      <c r="C86" s="5">
        <v>1.4005E-2</v>
      </c>
      <c r="D86" s="6">
        <v>55.83108</v>
      </c>
      <c r="E86" s="6">
        <v>29.29119</v>
      </c>
      <c r="F86" s="6">
        <v>52.463949999999997</v>
      </c>
    </row>
    <row r="87" spans="1:6" x14ac:dyDescent="0.2">
      <c r="A87" s="4" t="s">
        <v>2</v>
      </c>
      <c r="B87" s="4" t="s">
        <v>104</v>
      </c>
      <c r="C87" s="5">
        <v>0.16286700000000001</v>
      </c>
      <c r="D87" s="6">
        <v>109.40285</v>
      </c>
      <c r="E87" s="6">
        <v>28.88767</v>
      </c>
      <c r="F87" s="6">
        <v>26.404859999999999</v>
      </c>
    </row>
    <row r="88" spans="1:6" x14ac:dyDescent="0.2">
      <c r="A88" s="4" t="s">
        <v>16</v>
      </c>
      <c r="B88" s="4" t="s">
        <v>104</v>
      </c>
      <c r="C88" s="5">
        <v>0.34071299999999999</v>
      </c>
      <c r="D88" s="6">
        <v>48.920349999999999</v>
      </c>
      <c r="E88" s="6">
        <v>38.262479999999996</v>
      </c>
      <c r="F88" s="6">
        <v>78.213830000000002</v>
      </c>
    </row>
    <row r="89" spans="1:6" x14ac:dyDescent="0.2">
      <c r="A89" s="4" t="s">
        <v>18</v>
      </c>
      <c r="B89" s="4" t="s">
        <v>104</v>
      </c>
      <c r="C89" s="5">
        <v>0.48529899999999998</v>
      </c>
      <c r="D89" s="6">
        <v>65.360560000000007</v>
      </c>
      <c r="E89" s="6">
        <v>39.527500000000003</v>
      </c>
      <c r="F89" s="6">
        <v>60.476080000000003</v>
      </c>
    </row>
    <row r="90" spans="1:6" x14ac:dyDescent="0.2">
      <c r="A90" s="4" t="s">
        <v>24</v>
      </c>
      <c r="B90" s="4" t="s">
        <v>104</v>
      </c>
      <c r="C90" s="5">
        <v>0.77009000000000005</v>
      </c>
      <c r="D90" s="6">
        <v>41.059869999999997</v>
      </c>
      <c r="E90" s="6">
        <v>20.536549999999998</v>
      </c>
      <c r="F90" s="6">
        <v>50.016120000000001</v>
      </c>
    </row>
    <row r="91" spans="1:6" x14ac:dyDescent="0.2">
      <c r="A91" s="4" t="s">
        <v>22</v>
      </c>
      <c r="B91" s="4" t="s">
        <v>104</v>
      </c>
      <c r="C91" s="5">
        <v>0.48205700000000001</v>
      </c>
      <c r="D91" s="6">
        <v>77.931299999999993</v>
      </c>
      <c r="E91" s="6">
        <v>54.027259999999998</v>
      </c>
      <c r="F91" s="6">
        <v>69.326779999999999</v>
      </c>
    </row>
    <row r="92" spans="1:6" x14ac:dyDescent="0.2">
      <c r="A92" s="4" t="s">
        <v>20</v>
      </c>
      <c r="B92" s="4" t="s">
        <v>104</v>
      </c>
      <c r="C92" s="5">
        <v>0.83728400000000003</v>
      </c>
      <c r="D92" s="6">
        <v>27.968389999999999</v>
      </c>
      <c r="E92" s="6">
        <v>17.512869999999999</v>
      </c>
      <c r="F92" s="6">
        <v>62.616669999999999</v>
      </c>
    </row>
    <row r="93" spans="1:6" x14ac:dyDescent="0.2">
      <c r="A93" s="4" t="s">
        <v>19</v>
      </c>
      <c r="B93" s="4" t="s">
        <v>104</v>
      </c>
      <c r="C93" s="5">
        <v>0.47884900000000002</v>
      </c>
      <c r="D93" s="6">
        <v>62.88111</v>
      </c>
      <c r="E93" s="6">
        <v>52.646270000000001</v>
      </c>
      <c r="F93" s="6">
        <v>83.723510000000005</v>
      </c>
    </row>
    <row r="94" spans="1:6" x14ac:dyDescent="0.2">
      <c r="A94" s="4" t="s">
        <v>21</v>
      </c>
      <c r="B94" s="4" t="s">
        <v>104</v>
      </c>
      <c r="C94" s="5">
        <v>0.89437199999999994</v>
      </c>
      <c r="D94" s="6">
        <v>18.50835</v>
      </c>
      <c r="E94" s="6">
        <v>15.21227</v>
      </c>
      <c r="F94" s="6">
        <v>82.191360000000003</v>
      </c>
    </row>
    <row r="95" spans="1:6" x14ac:dyDescent="0.2">
      <c r="A95" s="4" t="s">
        <v>17</v>
      </c>
      <c r="B95" s="4" t="s">
        <v>104</v>
      </c>
      <c r="C95" s="5">
        <v>0.60392100000000004</v>
      </c>
      <c r="D95" s="6">
        <v>44.974020000000003</v>
      </c>
      <c r="E95" s="6">
        <v>48.760759999999998</v>
      </c>
      <c r="F95" s="6">
        <v>108.41983999999999</v>
      </c>
    </row>
    <row r="96" spans="1:6" x14ac:dyDescent="0.2">
      <c r="A96" s="4" t="s">
        <v>10</v>
      </c>
      <c r="B96" s="4" t="s">
        <v>104</v>
      </c>
      <c r="C96" s="5">
        <v>3.6103999999999997E-2</v>
      </c>
      <c r="D96" s="6">
        <v>113.90827</v>
      </c>
      <c r="E96" s="6">
        <v>46.306930000000001</v>
      </c>
      <c r="F96" s="6">
        <v>40.652830000000002</v>
      </c>
    </row>
    <row r="97" spans="1:6" x14ac:dyDescent="0.2">
      <c r="A97" s="4" t="s">
        <v>9</v>
      </c>
      <c r="B97" s="4" t="s">
        <v>104</v>
      </c>
      <c r="C97" s="5">
        <v>0.38011699999999998</v>
      </c>
      <c r="D97" s="6">
        <v>93.37912</v>
      </c>
      <c r="E97" s="6">
        <v>43.158439999999999</v>
      </c>
      <c r="F97" s="6">
        <v>46.218510000000002</v>
      </c>
    </row>
    <row r="98" spans="1:6" x14ac:dyDescent="0.2">
      <c r="A98" s="4" t="s">
        <v>23</v>
      </c>
      <c r="B98" s="4" t="s">
        <v>104</v>
      </c>
      <c r="C98" s="5">
        <v>0.28755700000000001</v>
      </c>
      <c r="D98" s="6">
        <v>38.591259999999998</v>
      </c>
      <c r="E98" s="6">
        <v>55.16095</v>
      </c>
      <c r="F98" s="6">
        <v>142.93638000000001</v>
      </c>
    </row>
    <row r="99" spans="1:6" x14ac:dyDescent="0.2">
      <c r="A99" s="4" t="s">
        <v>6</v>
      </c>
      <c r="B99" s="4" t="s">
        <v>104</v>
      </c>
      <c r="C99" s="5">
        <v>0.50924499999999995</v>
      </c>
      <c r="D99" s="6">
        <v>49.311979999999998</v>
      </c>
      <c r="E99" s="6">
        <v>12.84511</v>
      </c>
      <c r="F99" s="6">
        <v>26.048670000000001</v>
      </c>
    </row>
    <row r="100" spans="1:6" x14ac:dyDescent="0.2">
      <c r="A100" s="4" t="s">
        <v>1</v>
      </c>
      <c r="B100" s="4" t="s">
        <v>104</v>
      </c>
      <c r="C100" s="5">
        <v>0.52003900000000003</v>
      </c>
      <c r="D100" s="6">
        <v>39.446579999999997</v>
      </c>
      <c r="E100" s="6">
        <v>41.269570000000002</v>
      </c>
      <c r="F100" s="6">
        <v>104.62139999999999</v>
      </c>
    </row>
    <row r="101" spans="1:6" x14ac:dyDescent="0.2">
      <c r="A101" s="4" t="s">
        <v>11</v>
      </c>
      <c r="B101" s="4" t="s">
        <v>104</v>
      </c>
      <c r="C101" s="5">
        <v>0.572017</v>
      </c>
      <c r="D101" s="6">
        <v>56.629539999999999</v>
      </c>
      <c r="E101" s="6">
        <v>23.050160000000002</v>
      </c>
      <c r="F101" s="6">
        <v>40.703420000000001</v>
      </c>
    </row>
    <row r="102" spans="1:6" x14ac:dyDescent="0.2">
      <c r="A102" s="4" t="s">
        <v>13</v>
      </c>
      <c r="B102" s="4" t="s">
        <v>104</v>
      </c>
      <c r="C102" s="5">
        <v>0.81139600000000001</v>
      </c>
      <c r="D102" s="6">
        <v>24.529170000000001</v>
      </c>
      <c r="E102" s="6">
        <v>18.746379999999998</v>
      </c>
      <c r="F102" s="6">
        <v>76.424840000000003</v>
      </c>
    </row>
    <row r="103" spans="1:6" x14ac:dyDescent="0.2">
      <c r="A103" s="4" t="s">
        <v>4</v>
      </c>
      <c r="B103" s="4" t="s">
        <v>104</v>
      </c>
      <c r="C103" s="5">
        <v>0.39845000000000003</v>
      </c>
      <c r="D103" s="6">
        <v>31.168890000000001</v>
      </c>
      <c r="E103" s="6">
        <v>27.057939999999999</v>
      </c>
      <c r="F103" s="6">
        <v>86.810739999999996</v>
      </c>
    </row>
    <row r="104" spans="1:6" x14ac:dyDescent="0.2">
      <c r="A104" s="4" t="s">
        <v>12</v>
      </c>
      <c r="B104" s="4" t="s">
        <v>104</v>
      </c>
      <c r="C104" s="5">
        <v>0.33857199999999998</v>
      </c>
      <c r="D104" s="6">
        <v>50.266710000000003</v>
      </c>
      <c r="E104" s="6">
        <v>26.493559999999999</v>
      </c>
      <c r="F104" s="6">
        <v>52.705979999999997</v>
      </c>
    </row>
    <row r="105" spans="1:6" x14ac:dyDescent="0.2">
      <c r="A105" s="4" t="s">
        <v>25</v>
      </c>
      <c r="B105" s="4" t="s">
        <v>104</v>
      </c>
      <c r="C105" s="5">
        <v>0.10817300000000001</v>
      </c>
      <c r="D105" s="6">
        <v>25.039549999999998</v>
      </c>
      <c r="E105" s="6">
        <v>9.1359999999999992</v>
      </c>
      <c r="F105" s="6">
        <v>36.486280000000001</v>
      </c>
    </row>
    <row r="106" spans="1:6" s="11" customFormat="1" x14ac:dyDescent="0.2">
      <c r="A106" s="8" t="s">
        <v>8</v>
      </c>
      <c r="B106" s="8" t="s">
        <v>104</v>
      </c>
      <c r="C106" s="9">
        <v>0.66814600000000002</v>
      </c>
      <c r="D106" s="10">
        <v>57.540730000000003</v>
      </c>
      <c r="E106" s="10">
        <v>35.515560000000001</v>
      </c>
      <c r="F106" s="10">
        <v>61.722459999999998</v>
      </c>
    </row>
    <row r="107" spans="1:6" x14ac:dyDescent="0.2">
      <c r="A107" s="4" t="s">
        <v>15</v>
      </c>
      <c r="B107" s="4" t="s">
        <v>105</v>
      </c>
      <c r="C107" s="5">
        <v>0.217774</v>
      </c>
      <c r="D107" s="6">
        <v>49.246679999999998</v>
      </c>
      <c r="E107" s="6">
        <v>29.457540000000002</v>
      </c>
      <c r="F107" s="6">
        <v>59.816290000000002</v>
      </c>
    </row>
    <row r="108" spans="1:6" x14ac:dyDescent="0.2">
      <c r="A108" s="4" t="s">
        <v>2</v>
      </c>
      <c r="B108" s="4" t="s">
        <v>105</v>
      </c>
      <c r="C108" s="5">
        <v>0.13678599999999999</v>
      </c>
      <c r="D108" s="6">
        <v>122.03063</v>
      </c>
      <c r="E108" s="6">
        <v>39.24391</v>
      </c>
      <c r="F108" s="6">
        <v>32.159059999999997</v>
      </c>
    </row>
    <row r="109" spans="1:6" x14ac:dyDescent="0.2">
      <c r="A109" s="4" t="s">
        <v>16</v>
      </c>
      <c r="B109" s="4" t="s">
        <v>105</v>
      </c>
      <c r="C109" s="5">
        <v>0.25445000000000001</v>
      </c>
      <c r="D109" s="6">
        <v>75.056659999999994</v>
      </c>
      <c r="E109" s="6">
        <v>58.143619999999999</v>
      </c>
      <c r="F109" s="6">
        <v>77.466300000000004</v>
      </c>
    </row>
    <row r="110" spans="1:6" x14ac:dyDescent="0.2">
      <c r="A110" s="4" t="s">
        <v>18</v>
      </c>
      <c r="B110" s="4" t="s">
        <v>105</v>
      </c>
      <c r="C110" s="5">
        <v>0.72288699999999995</v>
      </c>
      <c r="D110" s="6">
        <v>44.825490000000002</v>
      </c>
      <c r="E110" s="6">
        <v>20.127050000000001</v>
      </c>
      <c r="F110" s="6">
        <v>44.900919999999999</v>
      </c>
    </row>
    <row r="111" spans="1:6" x14ac:dyDescent="0.2">
      <c r="A111" s="4" t="s">
        <v>24</v>
      </c>
      <c r="B111" s="4" t="s">
        <v>105</v>
      </c>
      <c r="C111" s="5">
        <v>0.71848900000000004</v>
      </c>
      <c r="D111" s="6">
        <v>41.288789999999999</v>
      </c>
      <c r="E111" s="6">
        <v>21.49736</v>
      </c>
      <c r="F111" s="6">
        <v>52.065869999999997</v>
      </c>
    </row>
    <row r="112" spans="1:6" x14ac:dyDescent="0.2">
      <c r="A112" s="4" t="s">
        <v>22</v>
      </c>
      <c r="B112" s="4" t="s">
        <v>105</v>
      </c>
      <c r="C112" s="5">
        <v>0.454482</v>
      </c>
      <c r="D112" s="6">
        <v>66.957470000000001</v>
      </c>
      <c r="E112" s="6">
        <v>45.445439999999998</v>
      </c>
      <c r="F112" s="6">
        <v>67.87209</v>
      </c>
    </row>
    <row r="113" spans="1:6" x14ac:dyDescent="0.2">
      <c r="A113" s="4" t="s">
        <v>20</v>
      </c>
      <c r="B113" s="4" t="s">
        <v>105</v>
      </c>
      <c r="C113" s="5">
        <v>0.82052400000000003</v>
      </c>
      <c r="D113" s="6">
        <v>29.20815</v>
      </c>
      <c r="E113" s="6">
        <v>21.53097</v>
      </c>
      <c r="F113" s="6">
        <v>73.715620000000001</v>
      </c>
    </row>
    <row r="114" spans="1:6" x14ac:dyDescent="0.2">
      <c r="A114" s="4" t="s">
        <v>19</v>
      </c>
      <c r="B114" s="4" t="s">
        <v>105</v>
      </c>
      <c r="C114" s="5">
        <v>0.42677700000000002</v>
      </c>
      <c r="D114" s="6">
        <v>61.993169999999999</v>
      </c>
      <c r="E114" s="6">
        <v>52.347410000000004</v>
      </c>
      <c r="F114" s="6">
        <v>84.440619999999996</v>
      </c>
    </row>
    <row r="115" spans="1:6" x14ac:dyDescent="0.2">
      <c r="A115" s="4" t="s">
        <v>21</v>
      </c>
      <c r="B115" s="4" t="s">
        <v>105</v>
      </c>
      <c r="C115" s="5">
        <v>0.87327299999999997</v>
      </c>
      <c r="D115" s="6">
        <v>17.376670000000001</v>
      </c>
      <c r="E115" s="6">
        <v>14.32221</v>
      </c>
      <c r="F115" s="6">
        <v>82.422079999999994</v>
      </c>
    </row>
    <row r="116" spans="1:6" x14ac:dyDescent="0.2">
      <c r="A116" s="4" t="s">
        <v>17</v>
      </c>
      <c r="B116" s="4" t="s">
        <v>105</v>
      </c>
      <c r="C116" s="5">
        <v>0.68412200000000001</v>
      </c>
      <c r="D116" s="6">
        <v>34.77328</v>
      </c>
      <c r="E116" s="6">
        <v>37.993020000000001</v>
      </c>
      <c r="F116" s="6">
        <v>109.25924000000001</v>
      </c>
    </row>
    <row r="117" spans="1:6" x14ac:dyDescent="0.2">
      <c r="A117" s="4" t="s">
        <v>10</v>
      </c>
      <c r="B117" s="4" t="s">
        <v>105</v>
      </c>
      <c r="C117" s="5">
        <v>0.40845999999999999</v>
      </c>
      <c r="D117" s="6">
        <v>70.584220000000002</v>
      </c>
      <c r="E117" s="6">
        <v>28.162479999999999</v>
      </c>
      <c r="F117" s="6">
        <v>39.89911</v>
      </c>
    </row>
    <row r="118" spans="1:6" x14ac:dyDescent="0.2">
      <c r="A118" s="4" t="s">
        <v>9</v>
      </c>
      <c r="B118" s="4" t="s">
        <v>105</v>
      </c>
      <c r="C118" s="5">
        <v>0.30862800000000001</v>
      </c>
      <c r="D118" s="6">
        <v>95.214060000000003</v>
      </c>
      <c r="E118" s="6">
        <v>39.597589999999997</v>
      </c>
      <c r="F118" s="6">
        <v>41.587969999999999</v>
      </c>
    </row>
    <row r="119" spans="1:6" x14ac:dyDescent="0.2">
      <c r="A119" s="4" t="s">
        <v>23</v>
      </c>
      <c r="B119" s="4" t="s">
        <v>105</v>
      </c>
      <c r="C119" s="5">
        <v>0.33988800000000002</v>
      </c>
      <c r="D119" s="6">
        <v>37.8125</v>
      </c>
      <c r="E119" s="6">
        <v>54.146810000000002</v>
      </c>
      <c r="F119" s="6">
        <v>143.19819000000001</v>
      </c>
    </row>
    <row r="120" spans="1:6" x14ac:dyDescent="0.2">
      <c r="A120" s="4" t="s">
        <v>6</v>
      </c>
      <c r="B120" s="4" t="s">
        <v>105</v>
      </c>
      <c r="C120" s="5">
        <v>0.67895399999999995</v>
      </c>
      <c r="D120" s="6">
        <v>36.10566</v>
      </c>
      <c r="E120" s="6">
        <v>6.5123300000000004</v>
      </c>
      <c r="F120" s="6">
        <v>18.03687</v>
      </c>
    </row>
    <row r="121" spans="1:6" x14ac:dyDescent="0.2">
      <c r="A121" s="4" t="s">
        <v>1</v>
      </c>
      <c r="B121" s="4" t="s">
        <v>105</v>
      </c>
      <c r="C121" s="5">
        <v>0.60542799999999997</v>
      </c>
      <c r="D121" s="6">
        <v>43.981369999999998</v>
      </c>
      <c r="E121" s="6">
        <v>37.160299999999999</v>
      </c>
      <c r="F121" s="6">
        <v>84.491</v>
      </c>
    </row>
    <row r="122" spans="1:6" x14ac:dyDescent="0.2">
      <c r="A122" s="4" t="s">
        <v>11</v>
      </c>
      <c r="B122" s="4" t="s">
        <v>105</v>
      </c>
      <c r="C122" s="5">
        <v>0.66870099999999999</v>
      </c>
      <c r="D122" s="6">
        <v>41.232990000000001</v>
      </c>
      <c r="E122" s="6">
        <v>15.118589999999999</v>
      </c>
      <c r="F122" s="6">
        <v>36.666249999999998</v>
      </c>
    </row>
    <row r="123" spans="1:6" x14ac:dyDescent="0.2">
      <c r="A123" s="4" t="s">
        <v>13</v>
      </c>
      <c r="B123" s="4" t="s">
        <v>105</v>
      </c>
      <c r="C123" s="5">
        <v>0.87645600000000001</v>
      </c>
      <c r="D123" s="6">
        <v>19.449110000000001</v>
      </c>
      <c r="E123" s="6">
        <v>15.225210000000001</v>
      </c>
      <c r="F123" s="6">
        <v>78.282319999999999</v>
      </c>
    </row>
    <row r="124" spans="1:6" x14ac:dyDescent="0.2">
      <c r="A124" s="4" t="s">
        <v>4</v>
      </c>
      <c r="B124" s="4" t="s">
        <v>105</v>
      </c>
      <c r="C124" s="5">
        <v>0.655084</v>
      </c>
      <c r="D124" s="6">
        <v>23.662769999999998</v>
      </c>
      <c r="E124" s="6">
        <v>21.834289999999999</v>
      </c>
      <c r="F124" s="6">
        <v>92.272739999999999</v>
      </c>
    </row>
    <row r="125" spans="1:6" x14ac:dyDescent="0.2">
      <c r="A125" s="4" t="s">
        <v>12</v>
      </c>
      <c r="B125" s="4" t="s">
        <v>105</v>
      </c>
      <c r="C125" s="5">
        <v>0.32336399999999998</v>
      </c>
      <c r="D125" s="6">
        <v>54.424349999999997</v>
      </c>
      <c r="E125" s="6">
        <v>29.562919999999998</v>
      </c>
      <c r="F125" s="6">
        <v>54.319279999999999</v>
      </c>
    </row>
    <row r="126" spans="1:6" x14ac:dyDescent="0.2">
      <c r="A126" s="4" t="s">
        <v>25</v>
      </c>
      <c r="B126" s="4" t="s">
        <v>105</v>
      </c>
      <c r="C126" s="5">
        <v>7.156E-3</v>
      </c>
      <c r="D126" s="6">
        <v>37.687420000000003</v>
      </c>
      <c r="E126" s="6">
        <v>15.64091</v>
      </c>
      <c r="F126" s="6">
        <v>41.501660000000001</v>
      </c>
    </row>
    <row r="127" spans="1:6" s="11" customFormat="1" x14ac:dyDescent="0.2">
      <c r="A127" s="8" t="s">
        <v>8</v>
      </c>
      <c r="B127" s="8" t="s">
        <v>105</v>
      </c>
      <c r="C127" s="9">
        <v>0.50456900000000005</v>
      </c>
      <c r="D127" s="10">
        <v>69.73151</v>
      </c>
      <c r="E127" s="10">
        <v>38.293019999999999</v>
      </c>
      <c r="F127" s="10">
        <v>54.914940000000001</v>
      </c>
    </row>
    <row r="128" spans="1:6" x14ac:dyDescent="0.2">
      <c r="A128" s="4" t="s">
        <v>15</v>
      </c>
      <c r="B128" s="4" t="s">
        <v>106</v>
      </c>
      <c r="C128" s="5">
        <v>4.1495999999999998E-2</v>
      </c>
      <c r="D128" s="6">
        <v>144.95838000000001</v>
      </c>
      <c r="E128" s="6">
        <v>178.61699999999999</v>
      </c>
      <c r="F128" s="6">
        <v>123.21951</v>
      </c>
    </row>
    <row r="129" spans="1:6" x14ac:dyDescent="0.2">
      <c r="A129" s="4" t="s">
        <v>2</v>
      </c>
      <c r="B129" s="4" t="s">
        <v>106</v>
      </c>
      <c r="C129" s="5">
        <v>3.2695000000000002E-2</v>
      </c>
      <c r="D129" s="6">
        <v>564.60766999999998</v>
      </c>
      <c r="E129" s="6">
        <v>149.89675</v>
      </c>
      <c r="F129" s="6">
        <v>26.548829999999999</v>
      </c>
    </row>
    <row r="130" spans="1:6" x14ac:dyDescent="0.2">
      <c r="A130" s="4" t="s">
        <v>16</v>
      </c>
      <c r="B130" s="4" t="s">
        <v>106</v>
      </c>
      <c r="C130" s="5">
        <v>8.1712999999999994E-2</v>
      </c>
      <c r="D130" s="6">
        <v>1460</v>
      </c>
      <c r="E130" s="6">
        <v>338.24572999999998</v>
      </c>
      <c r="F130" s="6">
        <v>23.172419999999999</v>
      </c>
    </row>
    <row r="131" spans="1:6" x14ac:dyDescent="0.2">
      <c r="A131" s="4" t="s">
        <v>18</v>
      </c>
      <c r="B131" s="4" t="s">
        <v>106</v>
      </c>
      <c r="C131" s="5">
        <v>3.2392999999999998E-2</v>
      </c>
      <c r="D131" s="6">
        <v>387.32873999999998</v>
      </c>
      <c r="E131" s="6">
        <v>231.50411</v>
      </c>
      <c r="F131" s="6">
        <v>59.769410000000001</v>
      </c>
    </row>
    <row r="132" spans="1:6" x14ac:dyDescent="0.2">
      <c r="A132" s="4" t="s">
        <v>24</v>
      </c>
      <c r="B132" s="4" t="s">
        <v>106</v>
      </c>
      <c r="C132" s="5">
        <v>1.132E-3</v>
      </c>
      <c r="D132" s="6">
        <v>-944.50018</v>
      </c>
      <c r="E132" s="6">
        <v>148.95043999999999</v>
      </c>
      <c r="F132" s="6">
        <v>-15.770289999999999</v>
      </c>
    </row>
    <row r="133" spans="1:6" x14ac:dyDescent="0.2">
      <c r="A133" s="4" t="s">
        <v>22</v>
      </c>
      <c r="B133" s="4" t="s">
        <v>106</v>
      </c>
      <c r="C133" s="5">
        <v>0.21207200000000001</v>
      </c>
      <c r="D133" s="6">
        <v>139.02847</v>
      </c>
      <c r="E133" s="6">
        <v>227.58219</v>
      </c>
      <c r="F133" s="6">
        <v>163.69467</v>
      </c>
    </row>
    <row r="134" spans="1:6" x14ac:dyDescent="0.2">
      <c r="A134" s="4" t="s">
        <v>20</v>
      </c>
      <c r="B134" s="4" t="s">
        <v>106</v>
      </c>
      <c r="C134" s="5">
        <v>0.13398699999999999</v>
      </c>
      <c r="D134" s="6">
        <v>238.1354</v>
      </c>
      <c r="E134" s="6">
        <v>391.93682000000001</v>
      </c>
      <c r="F134" s="6">
        <v>164.5857</v>
      </c>
    </row>
    <row r="135" spans="1:6" x14ac:dyDescent="0.2">
      <c r="A135" s="4" t="s">
        <v>19</v>
      </c>
      <c r="B135" s="4" t="s">
        <v>106</v>
      </c>
      <c r="C135" s="5">
        <v>0.17647399999999999</v>
      </c>
      <c r="D135" s="6">
        <v>270.50733000000002</v>
      </c>
      <c r="E135" s="6">
        <v>193.83987999999999</v>
      </c>
      <c r="F135" s="6">
        <v>71.657899999999998</v>
      </c>
    </row>
    <row r="136" spans="1:6" x14ac:dyDescent="0.2">
      <c r="A136" s="4" t="s">
        <v>21</v>
      </c>
      <c r="B136" s="4" t="s">
        <v>106</v>
      </c>
      <c r="C136" s="5">
        <v>0.38961499999999999</v>
      </c>
      <c r="D136" s="6">
        <v>159.82129</v>
      </c>
      <c r="E136" s="6">
        <v>128.68412000000001</v>
      </c>
      <c r="F136" s="6">
        <v>80.517510000000001</v>
      </c>
    </row>
    <row r="137" spans="1:6" x14ac:dyDescent="0.2">
      <c r="A137" s="4" t="s">
        <v>17</v>
      </c>
      <c r="B137" s="4" t="s">
        <v>106</v>
      </c>
      <c r="C137" s="5">
        <v>0.28382499999999999</v>
      </c>
      <c r="D137" s="6">
        <v>-6812</v>
      </c>
      <c r="E137" s="6">
        <v>227.34322</v>
      </c>
      <c r="F137" s="6">
        <v>-3.3374199999999998</v>
      </c>
    </row>
    <row r="138" spans="1:6" x14ac:dyDescent="0.2">
      <c r="A138" s="4" t="s">
        <v>10</v>
      </c>
      <c r="B138" s="4" t="s">
        <v>106</v>
      </c>
      <c r="C138" s="5">
        <v>4.4672000000000003E-2</v>
      </c>
      <c r="D138" s="6">
        <v>212.90133</v>
      </c>
      <c r="E138" s="6">
        <v>182.91795999999999</v>
      </c>
      <c r="F138" s="6">
        <v>85.916780000000003</v>
      </c>
    </row>
    <row r="139" spans="1:6" x14ac:dyDescent="0.2">
      <c r="A139" s="4" t="s">
        <v>9</v>
      </c>
      <c r="B139" s="4" t="s">
        <v>106</v>
      </c>
      <c r="C139" s="5">
        <v>0.26204</v>
      </c>
      <c r="D139" s="6">
        <v>318.15861000000001</v>
      </c>
      <c r="E139" s="6">
        <v>240.27530999999999</v>
      </c>
      <c r="F139" s="6">
        <v>75.520600000000002</v>
      </c>
    </row>
    <row r="140" spans="1:6" x14ac:dyDescent="0.2">
      <c r="A140" s="4" t="s">
        <v>23</v>
      </c>
      <c r="B140" s="4" t="s">
        <v>106</v>
      </c>
      <c r="C140" s="5">
        <v>0.34338099999999999</v>
      </c>
      <c r="D140" s="6">
        <v>268.73334</v>
      </c>
      <c r="E140" s="6">
        <v>134.4281</v>
      </c>
      <c r="F140" s="6">
        <v>50.022860000000001</v>
      </c>
    </row>
    <row r="141" spans="1:6" x14ac:dyDescent="0.2">
      <c r="A141" s="4" t="s">
        <v>6</v>
      </c>
      <c r="B141" s="4" t="s">
        <v>106</v>
      </c>
      <c r="C141" s="5">
        <v>0.53040699999999996</v>
      </c>
      <c r="D141" s="6">
        <v>84.867260000000002</v>
      </c>
      <c r="E141" s="6">
        <v>93.942639999999997</v>
      </c>
      <c r="F141" s="6">
        <v>110.69362</v>
      </c>
    </row>
    <row r="142" spans="1:6" x14ac:dyDescent="0.2">
      <c r="A142" s="4" t="s">
        <v>1</v>
      </c>
      <c r="B142" s="4" t="s">
        <v>106</v>
      </c>
      <c r="C142" s="5">
        <v>3.4487999999999998E-2</v>
      </c>
      <c r="D142" s="6">
        <v>87.074309999999997</v>
      </c>
      <c r="E142" s="6">
        <v>236.31896</v>
      </c>
      <c r="F142" s="6">
        <v>271.39918</v>
      </c>
    </row>
    <row r="143" spans="1:6" x14ac:dyDescent="0.2">
      <c r="A143" s="4" t="s">
        <v>11</v>
      </c>
      <c r="B143" s="4" t="s">
        <v>106</v>
      </c>
      <c r="C143" s="5">
        <v>0.14386299999999999</v>
      </c>
      <c r="D143" s="6">
        <v>235.19107</v>
      </c>
      <c r="E143" s="6">
        <v>215.26233999999999</v>
      </c>
      <c r="F143" s="6">
        <v>91.526579999999996</v>
      </c>
    </row>
    <row r="144" spans="1:6" x14ac:dyDescent="0.2">
      <c r="A144" s="4" t="s">
        <v>13</v>
      </c>
      <c r="B144" s="4" t="s">
        <v>106</v>
      </c>
      <c r="C144" s="5">
        <v>0.18446199999999999</v>
      </c>
      <c r="D144" s="6">
        <v>249.58525</v>
      </c>
      <c r="E144" s="6">
        <v>228.29810000000001</v>
      </c>
      <c r="F144" s="6">
        <v>91.47099</v>
      </c>
    </row>
    <row r="145" spans="1:6" x14ac:dyDescent="0.2">
      <c r="A145" s="4" t="s">
        <v>4</v>
      </c>
      <c r="B145" s="4" t="s">
        <v>106</v>
      </c>
      <c r="C145" s="5">
        <v>0.207009</v>
      </c>
      <c r="D145" s="6">
        <v>153.10795999999999</v>
      </c>
      <c r="E145" s="6">
        <v>284.70713000000001</v>
      </c>
      <c r="F145" s="6">
        <v>185.95187999999999</v>
      </c>
    </row>
    <row r="146" spans="1:6" x14ac:dyDescent="0.2">
      <c r="A146" s="4" t="s">
        <v>12</v>
      </c>
      <c r="B146" s="4" t="s">
        <v>106</v>
      </c>
      <c r="C146" s="5">
        <v>0.122491</v>
      </c>
      <c r="D146" s="6">
        <v>604.76056000000005</v>
      </c>
      <c r="E146" s="6">
        <v>399.62943999999999</v>
      </c>
      <c r="F146" s="6">
        <v>66.080609999999993</v>
      </c>
    </row>
    <row r="147" spans="1:6" x14ac:dyDescent="0.2">
      <c r="A147" s="4" t="s">
        <v>25</v>
      </c>
      <c r="B147" s="4" t="s">
        <v>106</v>
      </c>
      <c r="C147" s="5">
        <v>0.25276999999999999</v>
      </c>
      <c r="D147" s="6">
        <v>499.29351000000003</v>
      </c>
      <c r="E147" s="6">
        <v>181.06488999999999</v>
      </c>
      <c r="F147" s="6">
        <v>36.264220000000002</v>
      </c>
    </row>
    <row r="148" spans="1:6" s="11" customFormat="1" x14ac:dyDescent="0.2">
      <c r="A148" s="8" t="s">
        <v>8</v>
      </c>
      <c r="B148" s="8" t="s">
        <v>106</v>
      </c>
      <c r="C148" s="9">
        <v>0.288742</v>
      </c>
      <c r="D148" s="10">
        <v>107.04662999999999</v>
      </c>
      <c r="E148" s="10">
        <v>102.37969</v>
      </c>
      <c r="F148" s="10">
        <v>95.640270000000001</v>
      </c>
    </row>
    <row r="149" spans="1:6" x14ac:dyDescent="0.2">
      <c r="A149" s="4" t="s">
        <v>15</v>
      </c>
      <c r="B149" s="4" t="s">
        <v>107</v>
      </c>
      <c r="C149" s="5">
        <v>0.348277</v>
      </c>
      <c r="D149" s="6">
        <v>247.54907</v>
      </c>
      <c r="E149" s="6">
        <v>53.995289999999997</v>
      </c>
      <c r="F149" s="6">
        <v>21.81195</v>
      </c>
    </row>
    <row r="150" spans="1:6" x14ac:dyDescent="0.2">
      <c r="A150" s="4" t="s">
        <v>2</v>
      </c>
      <c r="B150" s="4" t="s">
        <v>107</v>
      </c>
      <c r="C150" s="5">
        <v>0.225441</v>
      </c>
      <c r="D150" s="6">
        <v>335.55291</v>
      </c>
      <c r="E150" s="6">
        <v>44.959000000000003</v>
      </c>
      <c r="F150" s="6">
        <v>13.398479999999999</v>
      </c>
    </row>
    <row r="151" spans="1:6" x14ac:dyDescent="0.2">
      <c r="A151" s="4" t="s">
        <v>16</v>
      </c>
      <c r="B151" s="4" t="s">
        <v>107</v>
      </c>
      <c r="C151" s="5">
        <v>7.6090000000000005E-2</v>
      </c>
      <c r="D151" s="6">
        <v>643.56082000000004</v>
      </c>
      <c r="E151" s="6">
        <v>128.45991000000001</v>
      </c>
      <c r="F151" s="6">
        <v>19.960799999999999</v>
      </c>
    </row>
    <row r="152" spans="1:6" x14ac:dyDescent="0.2">
      <c r="A152" s="4" t="s">
        <v>18</v>
      </c>
      <c r="B152" s="4" t="s">
        <v>107</v>
      </c>
      <c r="C152" s="5">
        <v>7.6499999999999995E-4</v>
      </c>
      <c r="D152" s="6">
        <v>631.49599000000001</v>
      </c>
      <c r="E152" s="6">
        <v>105.977</v>
      </c>
      <c r="F152" s="6">
        <v>16.7819</v>
      </c>
    </row>
    <row r="153" spans="1:6" x14ac:dyDescent="0.2">
      <c r="A153" s="4" t="s">
        <v>24</v>
      </c>
      <c r="B153" s="4" t="s">
        <v>107</v>
      </c>
      <c r="C153" s="5">
        <v>1.5864E-2</v>
      </c>
      <c r="D153" s="6">
        <v>176.53933000000001</v>
      </c>
      <c r="E153" s="6">
        <v>36.430489999999999</v>
      </c>
      <c r="F153" s="6">
        <v>20.635909999999999</v>
      </c>
    </row>
    <row r="154" spans="1:6" x14ac:dyDescent="0.2">
      <c r="A154" s="4" t="s">
        <v>22</v>
      </c>
      <c r="B154" s="4" t="s">
        <v>107</v>
      </c>
      <c r="C154" s="5">
        <v>0.27578900000000001</v>
      </c>
      <c r="D154" s="6">
        <v>374.96654999999998</v>
      </c>
      <c r="E154" s="6">
        <v>77.974739999999997</v>
      </c>
      <c r="F154" s="6">
        <v>20.795120000000001</v>
      </c>
    </row>
    <row r="155" spans="1:6" x14ac:dyDescent="0.2">
      <c r="A155" s="4" t="s">
        <v>20</v>
      </c>
      <c r="B155" s="4" t="s">
        <v>107</v>
      </c>
      <c r="C155" s="5">
        <v>0.33248100000000003</v>
      </c>
      <c r="D155" s="6">
        <v>442.47581000000002</v>
      </c>
      <c r="E155" s="6">
        <v>103.41058</v>
      </c>
      <c r="F155" s="6">
        <v>23.370899999999999</v>
      </c>
    </row>
    <row r="156" spans="1:6" x14ac:dyDescent="0.2">
      <c r="A156" s="4" t="s">
        <v>19</v>
      </c>
      <c r="B156" s="4" t="s">
        <v>107</v>
      </c>
      <c r="C156" s="5">
        <v>0.28709600000000002</v>
      </c>
      <c r="D156" s="6">
        <v>241.94526999999999</v>
      </c>
      <c r="E156" s="6">
        <v>145.02713</v>
      </c>
      <c r="F156" s="6">
        <v>59.942120000000003</v>
      </c>
    </row>
    <row r="157" spans="1:6" x14ac:dyDescent="0.2">
      <c r="A157" s="4" t="s">
        <v>21</v>
      </c>
      <c r="B157" s="4" t="s">
        <v>107</v>
      </c>
      <c r="C157" s="5">
        <v>0.15987599999999999</v>
      </c>
      <c r="D157" s="6">
        <v>428.78570000000002</v>
      </c>
      <c r="E157" s="6">
        <v>86.903890000000004</v>
      </c>
      <c r="F157" s="6">
        <v>20.267440000000001</v>
      </c>
    </row>
    <row r="158" spans="1:6" x14ac:dyDescent="0.2">
      <c r="A158" s="4" t="s">
        <v>17</v>
      </c>
      <c r="B158" s="4" t="s">
        <v>107</v>
      </c>
      <c r="C158" s="5">
        <v>0.245257</v>
      </c>
      <c r="D158" s="6">
        <v>229.41193999999999</v>
      </c>
      <c r="E158" s="6">
        <v>73.829059999999998</v>
      </c>
      <c r="F158" s="6">
        <v>32.181870000000004</v>
      </c>
    </row>
    <row r="159" spans="1:6" x14ac:dyDescent="0.2">
      <c r="A159" s="4" t="s">
        <v>10</v>
      </c>
      <c r="B159" s="4" t="s">
        <v>107</v>
      </c>
      <c r="C159" s="5">
        <v>9.3705999999999998E-2</v>
      </c>
      <c r="D159" s="6">
        <v>122.61588999999999</v>
      </c>
      <c r="E159" s="6">
        <v>51.627049999999997</v>
      </c>
      <c r="F159" s="6">
        <v>42.104700000000001</v>
      </c>
    </row>
    <row r="160" spans="1:6" x14ac:dyDescent="0.2">
      <c r="A160" s="4" t="s">
        <v>9</v>
      </c>
      <c r="B160" s="4" t="s">
        <v>107</v>
      </c>
      <c r="C160" s="5">
        <v>0.35136600000000001</v>
      </c>
      <c r="D160" s="6">
        <v>351.64666999999997</v>
      </c>
      <c r="E160" s="6">
        <v>79.877319999999997</v>
      </c>
      <c r="F160" s="6">
        <v>22.715219999999999</v>
      </c>
    </row>
    <row r="161" spans="1:6" x14ac:dyDescent="0.2">
      <c r="A161" s="4" t="s">
        <v>23</v>
      </c>
      <c r="B161" s="4" t="s">
        <v>107</v>
      </c>
      <c r="C161" s="5">
        <v>0.75946199999999997</v>
      </c>
      <c r="D161" s="6">
        <v>150.34075000000001</v>
      </c>
      <c r="E161" s="6">
        <v>35.626939999999998</v>
      </c>
      <c r="F161" s="6">
        <v>23.69746</v>
      </c>
    </row>
    <row r="162" spans="1:6" x14ac:dyDescent="0.2">
      <c r="A162" s="4" t="s">
        <v>6</v>
      </c>
      <c r="B162" s="4" t="s">
        <v>107</v>
      </c>
      <c r="C162" s="5">
        <v>0.114658</v>
      </c>
      <c r="D162" s="6">
        <v>351.66176999999999</v>
      </c>
      <c r="E162" s="6">
        <v>62.486060000000002</v>
      </c>
      <c r="F162" s="6">
        <v>17.768789999999999</v>
      </c>
    </row>
    <row r="163" spans="1:6" x14ac:dyDescent="0.2">
      <c r="A163" s="4" t="s">
        <v>1</v>
      </c>
      <c r="B163" s="4" t="s">
        <v>107</v>
      </c>
      <c r="C163" s="5">
        <v>0.379056</v>
      </c>
      <c r="D163" s="6">
        <v>115.42083</v>
      </c>
      <c r="E163" s="6">
        <v>76.221159999999998</v>
      </c>
      <c r="F163" s="6">
        <v>66.037610000000001</v>
      </c>
    </row>
    <row r="164" spans="1:6" x14ac:dyDescent="0.2">
      <c r="A164" s="4" t="s">
        <v>11</v>
      </c>
      <c r="B164" s="4" t="s">
        <v>107</v>
      </c>
      <c r="C164" s="5">
        <v>0.19894899999999999</v>
      </c>
      <c r="D164" s="6">
        <v>102.94058</v>
      </c>
      <c r="E164" s="6">
        <v>45.758949999999999</v>
      </c>
      <c r="F164" s="6">
        <v>44.451810000000002</v>
      </c>
    </row>
    <row r="165" spans="1:6" x14ac:dyDescent="0.2">
      <c r="A165" s="4" t="s">
        <v>13</v>
      </c>
      <c r="B165" s="4" t="s">
        <v>107</v>
      </c>
      <c r="C165" s="5">
        <v>0.10595599999999999</v>
      </c>
      <c r="D165" s="6">
        <v>163.24621999999999</v>
      </c>
      <c r="E165" s="6">
        <v>73.794160000000005</v>
      </c>
      <c r="F165" s="6">
        <v>45.204210000000003</v>
      </c>
    </row>
    <row r="166" spans="1:6" x14ac:dyDescent="0.2">
      <c r="A166" s="4" t="s">
        <v>4</v>
      </c>
      <c r="B166" s="4" t="s">
        <v>107</v>
      </c>
      <c r="C166" s="5">
        <v>0.18057899999999999</v>
      </c>
      <c r="D166" s="6">
        <v>143.08448999999999</v>
      </c>
      <c r="E166" s="6">
        <v>100.46016</v>
      </c>
      <c r="F166" s="6">
        <v>70.210369999999998</v>
      </c>
    </row>
    <row r="167" spans="1:6" x14ac:dyDescent="0.2">
      <c r="A167" s="4" t="s">
        <v>12</v>
      </c>
      <c r="B167" s="4" t="s">
        <v>107</v>
      </c>
      <c r="C167" s="5">
        <v>8.4761000000000003E-2</v>
      </c>
      <c r="D167" s="6">
        <v>-1936</v>
      </c>
      <c r="E167" s="6">
        <v>163.50209000000001</v>
      </c>
      <c r="F167" s="6">
        <v>-8.4432700000000001</v>
      </c>
    </row>
    <row r="168" spans="1:6" x14ac:dyDescent="0.2">
      <c r="A168" s="4" t="s">
        <v>25</v>
      </c>
      <c r="B168" s="4" t="s">
        <v>107</v>
      </c>
      <c r="C168" s="5">
        <v>0.360323</v>
      </c>
      <c r="D168" s="6">
        <v>317.16941000000003</v>
      </c>
      <c r="E168" s="6">
        <v>63.418680000000002</v>
      </c>
      <c r="F168" s="6">
        <v>19.99521</v>
      </c>
    </row>
    <row r="169" spans="1:6" s="11" customFormat="1" x14ac:dyDescent="0.2">
      <c r="A169" s="8" t="s">
        <v>8</v>
      </c>
      <c r="B169" s="8" t="s">
        <v>107</v>
      </c>
      <c r="C169" s="9">
        <v>0.52559500000000003</v>
      </c>
      <c r="D169" s="10">
        <v>98.646559999999994</v>
      </c>
      <c r="E169" s="10">
        <v>39.497129999999999</v>
      </c>
      <c r="F169" s="10">
        <v>40.03904</v>
      </c>
    </row>
    <row r="170" spans="1:6" x14ac:dyDescent="0.2">
      <c r="A170" s="4" t="s">
        <v>15</v>
      </c>
      <c r="B170" s="4" t="s">
        <v>108</v>
      </c>
      <c r="C170" s="5">
        <v>0.19441800000000001</v>
      </c>
      <c r="D170" s="6">
        <v>-368.02055000000001</v>
      </c>
      <c r="E170" s="6">
        <v>27.058129999999998</v>
      </c>
      <c r="F170" s="6">
        <v>-7.3523399999999999</v>
      </c>
    </row>
    <row r="171" spans="1:6" x14ac:dyDescent="0.2">
      <c r="A171" s="4" t="s">
        <v>2</v>
      </c>
      <c r="B171" s="4" t="s">
        <v>108</v>
      </c>
      <c r="C171" s="5">
        <v>0.121748</v>
      </c>
      <c r="D171" s="6">
        <v>-211.90312</v>
      </c>
      <c r="E171" s="6">
        <v>12.19333</v>
      </c>
      <c r="F171" s="6">
        <v>-5.7542</v>
      </c>
    </row>
    <row r="172" spans="1:6" x14ac:dyDescent="0.2">
      <c r="A172" s="4" t="s">
        <v>16</v>
      </c>
      <c r="B172" s="4" t="s">
        <v>108</v>
      </c>
      <c r="C172" s="5">
        <v>0.38492700000000002</v>
      </c>
      <c r="D172" s="6">
        <v>3440</v>
      </c>
      <c r="E172" s="6">
        <v>25.712589999999999</v>
      </c>
      <c r="F172" s="6">
        <v>0.74753000000000003</v>
      </c>
    </row>
    <row r="173" spans="1:6" x14ac:dyDescent="0.2">
      <c r="A173" s="4" t="s">
        <v>18</v>
      </c>
      <c r="B173" s="4" t="s">
        <v>108</v>
      </c>
      <c r="C173" s="5">
        <v>0.120284</v>
      </c>
      <c r="D173" s="6">
        <v>169.12651</v>
      </c>
      <c r="E173" s="6">
        <v>26.341729999999998</v>
      </c>
      <c r="F173" s="6">
        <v>15.57517</v>
      </c>
    </row>
    <row r="174" spans="1:6" x14ac:dyDescent="0.2">
      <c r="A174" s="4" t="s">
        <v>24</v>
      </c>
      <c r="B174" s="4" t="s">
        <v>108</v>
      </c>
      <c r="C174" s="5">
        <v>0.14507500000000001</v>
      </c>
      <c r="D174" s="6">
        <v>-383.91271999999998</v>
      </c>
      <c r="E174" s="6">
        <v>7.8692500000000001</v>
      </c>
      <c r="F174" s="6">
        <v>-2.04975</v>
      </c>
    </row>
    <row r="175" spans="1:6" x14ac:dyDescent="0.2">
      <c r="A175" s="4" t="s">
        <v>22</v>
      </c>
      <c r="B175" s="4" t="s">
        <v>108</v>
      </c>
      <c r="C175" s="5">
        <v>0.49302699999999999</v>
      </c>
      <c r="D175" s="6">
        <v>903.08502999999996</v>
      </c>
      <c r="E175" s="6">
        <v>13.13706</v>
      </c>
      <c r="F175" s="6">
        <v>1.45469</v>
      </c>
    </row>
    <row r="176" spans="1:6" x14ac:dyDescent="0.2">
      <c r="A176" s="4" t="s">
        <v>20</v>
      </c>
      <c r="B176" s="4" t="s">
        <v>108</v>
      </c>
      <c r="C176" s="5">
        <v>0.231763</v>
      </c>
      <c r="D176" s="6">
        <v>-131.22483</v>
      </c>
      <c r="E176" s="6">
        <v>14.564579999999999</v>
      </c>
      <c r="F176" s="6">
        <v>-11.09895</v>
      </c>
    </row>
    <row r="177" spans="1:6" x14ac:dyDescent="0.2">
      <c r="A177" s="4" t="s">
        <v>19</v>
      </c>
      <c r="B177" s="4" t="s">
        <v>108</v>
      </c>
      <c r="C177" s="5">
        <v>0.18896099999999999</v>
      </c>
      <c r="D177" s="6">
        <v>-572.35945000000004</v>
      </c>
      <c r="E177" s="6">
        <v>20.603339999999999</v>
      </c>
      <c r="F177" s="6">
        <v>-3.59972</v>
      </c>
    </row>
    <row r="178" spans="1:6" x14ac:dyDescent="0.2">
      <c r="A178" s="4" t="s">
        <v>21</v>
      </c>
      <c r="B178" s="4" t="s">
        <v>108</v>
      </c>
      <c r="C178" s="5">
        <v>0.25827099999999997</v>
      </c>
      <c r="D178" s="6">
        <v>-7367</v>
      </c>
      <c r="E178" s="6">
        <v>16.996639999999999</v>
      </c>
      <c r="F178" s="6">
        <v>-0.23072000000000001</v>
      </c>
    </row>
    <row r="179" spans="1:6" x14ac:dyDescent="0.2">
      <c r="A179" s="4" t="s">
        <v>17</v>
      </c>
      <c r="B179" s="4" t="s">
        <v>108</v>
      </c>
      <c r="C179" s="5">
        <v>0.250114</v>
      </c>
      <c r="D179" s="6">
        <v>-3126</v>
      </c>
      <c r="E179" s="6">
        <v>26.235800000000001</v>
      </c>
      <c r="F179" s="6">
        <v>-0.83940000000000003</v>
      </c>
    </row>
    <row r="180" spans="1:6" x14ac:dyDescent="0.2">
      <c r="A180" s="4" t="s">
        <v>10</v>
      </c>
      <c r="B180" s="4" t="s">
        <v>108</v>
      </c>
      <c r="C180" s="5">
        <v>0.145289</v>
      </c>
      <c r="D180" s="6">
        <v>4655</v>
      </c>
      <c r="E180" s="6">
        <v>35.086880000000001</v>
      </c>
      <c r="F180" s="6">
        <v>0.75371999999999995</v>
      </c>
    </row>
    <row r="181" spans="1:6" x14ac:dyDescent="0.2">
      <c r="A181" s="4" t="s">
        <v>9</v>
      </c>
      <c r="B181" s="4" t="s">
        <v>108</v>
      </c>
      <c r="C181" s="5">
        <v>0.487904</v>
      </c>
      <c r="D181" s="6">
        <v>264.33607999999998</v>
      </c>
      <c r="E181" s="6">
        <v>12.24019</v>
      </c>
      <c r="F181" s="6">
        <v>4.6305399999999999</v>
      </c>
    </row>
    <row r="182" spans="1:6" x14ac:dyDescent="0.2">
      <c r="A182" s="4" t="s">
        <v>23</v>
      </c>
      <c r="B182" s="4" t="s">
        <v>108</v>
      </c>
      <c r="C182" s="5">
        <v>0.344752</v>
      </c>
      <c r="D182" s="6">
        <v>-4420</v>
      </c>
      <c r="E182" s="6">
        <v>11.572990000000001</v>
      </c>
      <c r="F182" s="6">
        <v>-0.26182</v>
      </c>
    </row>
    <row r="183" spans="1:6" x14ac:dyDescent="0.2">
      <c r="A183" s="4" t="s">
        <v>6</v>
      </c>
      <c r="B183" s="4" t="s">
        <v>108</v>
      </c>
      <c r="C183" s="5">
        <v>0.221216</v>
      </c>
      <c r="D183" s="6">
        <v>102.18219999999999</v>
      </c>
      <c r="E183" s="6">
        <v>8.1866299999999992</v>
      </c>
      <c r="F183" s="6">
        <v>8.0117999999999991</v>
      </c>
    </row>
    <row r="184" spans="1:6" x14ac:dyDescent="0.2">
      <c r="A184" s="4" t="s">
        <v>1</v>
      </c>
      <c r="B184" s="4" t="s">
        <v>108</v>
      </c>
      <c r="C184" s="5">
        <v>0.230209</v>
      </c>
      <c r="D184" s="6">
        <v>239.03334000000001</v>
      </c>
      <c r="E184" s="6">
        <v>41.443060000000003</v>
      </c>
      <c r="F184" s="6">
        <v>17.337769999999999</v>
      </c>
    </row>
    <row r="185" spans="1:6" x14ac:dyDescent="0.2">
      <c r="A185" s="4" t="s">
        <v>11</v>
      </c>
      <c r="B185" s="4" t="s">
        <v>108</v>
      </c>
      <c r="C185" s="5">
        <v>0.190468</v>
      </c>
      <c r="D185" s="6">
        <v>310.60577999999998</v>
      </c>
      <c r="E185" s="6">
        <v>12.539669999999999</v>
      </c>
      <c r="F185" s="6">
        <v>4.0371699999999997</v>
      </c>
    </row>
    <row r="186" spans="1:6" x14ac:dyDescent="0.2">
      <c r="A186" s="4" t="s">
        <v>13</v>
      </c>
      <c r="B186" s="4" t="s">
        <v>108</v>
      </c>
      <c r="C186" s="5">
        <v>0.13105900000000001</v>
      </c>
      <c r="D186" s="6">
        <v>-360.79665</v>
      </c>
      <c r="E186" s="6">
        <v>6.7017199999999999</v>
      </c>
      <c r="F186" s="6">
        <v>-1.85748</v>
      </c>
    </row>
    <row r="187" spans="1:6" x14ac:dyDescent="0.2">
      <c r="A187" s="4" t="s">
        <v>4</v>
      </c>
      <c r="B187" s="4" t="s">
        <v>108</v>
      </c>
      <c r="C187" s="5">
        <v>0.194855</v>
      </c>
      <c r="D187" s="6">
        <v>-300.78181000000001</v>
      </c>
      <c r="E187" s="6">
        <v>16.42869</v>
      </c>
      <c r="F187" s="6">
        <v>-5.4619999999999997</v>
      </c>
    </row>
    <row r="188" spans="1:6" x14ac:dyDescent="0.2">
      <c r="A188" s="4" t="s">
        <v>12</v>
      </c>
      <c r="B188" s="4" t="s">
        <v>108</v>
      </c>
      <c r="C188" s="5">
        <v>0.142819</v>
      </c>
      <c r="D188" s="6">
        <v>-684.79638999999997</v>
      </c>
      <c r="E188" s="6">
        <v>11.047790000000001</v>
      </c>
      <c r="F188" s="6">
        <v>-1.6133</v>
      </c>
    </row>
    <row r="189" spans="1:6" x14ac:dyDescent="0.2">
      <c r="A189" s="4" t="s">
        <v>25</v>
      </c>
      <c r="B189" s="4" t="s">
        <v>108</v>
      </c>
      <c r="C189" s="5">
        <v>8.6138000000000006E-2</v>
      </c>
      <c r="D189" s="6">
        <v>-218.16865999999999</v>
      </c>
      <c r="E189" s="6">
        <v>10.941990000000001</v>
      </c>
      <c r="F189" s="6">
        <v>-5.0153800000000004</v>
      </c>
    </row>
    <row r="190" spans="1:6" s="11" customFormat="1" x14ac:dyDescent="0.2">
      <c r="A190" s="8" t="s">
        <v>8</v>
      </c>
      <c r="B190" s="8" t="s">
        <v>108</v>
      </c>
      <c r="C190" s="9">
        <v>0.74689899999999998</v>
      </c>
      <c r="D190" s="10">
        <v>112.52448</v>
      </c>
      <c r="E190" s="10">
        <v>7.6601299999999997</v>
      </c>
      <c r="F190" s="10">
        <v>6.8075200000000002</v>
      </c>
    </row>
    <row r="191" spans="1:6" x14ac:dyDescent="0.2">
      <c r="A191" s="4" t="s">
        <v>15</v>
      </c>
      <c r="B191" s="4" t="s">
        <v>109</v>
      </c>
      <c r="C191" s="5">
        <v>0.119893</v>
      </c>
      <c r="D191" s="6">
        <v>44.435229999999997</v>
      </c>
      <c r="E191" s="6">
        <v>151.2894</v>
      </c>
      <c r="F191" s="6">
        <v>340.47174999999999</v>
      </c>
    </row>
    <row r="192" spans="1:6" x14ac:dyDescent="0.2">
      <c r="A192" s="4" t="s">
        <v>2</v>
      </c>
      <c r="B192" s="4" t="s">
        <v>109</v>
      </c>
      <c r="C192" s="5">
        <v>7.6967999999999995E-2</v>
      </c>
      <c r="D192" s="6">
        <v>87.649559999999994</v>
      </c>
      <c r="E192" s="6">
        <v>140.95311000000001</v>
      </c>
      <c r="F192" s="6">
        <v>160.81440000000001</v>
      </c>
    </row>
    <row r="193" spans="1:6" x14ac:dyDescent="0.2">
      <c r="A193" s="4" t="s">
        <v>16</v>
      </c>
      <c r="B193" s="4" t="s">
        <v>109</v>
      </c>
      <c r="C193" s="5">
        <v>0.198267</v>
      </c>
      <c r="D193" s="6">
        <v>47.489759999999997</v>
      </c>
      <c r="E193" s="6">
        <v>144.60547</v>
      </c>
      <c r="F193" s="6">
        <v>304.49819000000002</v>
      </c>
    </row>
    <row r="194" spans="1:6" x14ac:dyDescent="0.2">
      <c r="A194" s="4" t="s">
        <v>18</v>
      </c>
      <c r="B194" s="4" t="s">
        <v>109</v>
      </c>
      <c r="C194" s="5">
        <v>0.60244900000000001</v>
      </c>
      <c r="D194" s="6">
        <v>60.388030000000001</v>
      </c>
      <c r="E194" s="6">
        <v>114.96986</v>
      </c>
      <c r="F194" s="6">
        <v>190.38517999999999</v>
      </c>
    </row>
    <row r="195" spans="1:6" x14ac:dyDescent="0.2">
      <c r="A195" s="4" t="s">
        <v>24</v>
      </c>
      <c r="B195" s="4" t="s">
        <v>109</v>
      </c>
      <c r="C195" s="5">
        <v>0.69919699999999996</v>
      </c>
      <c r="D195" s="6">
        <v>30.379899999999999</v>
      </c>
      <c r="E195" s="6">
        <v>82.912580000000005</v>
      </c>
      <c r="F195" s="6">
        <v>272.91923000000003</v>
      </c>
    </row>
    <row r="196" spans="1:6" x14ac:dyDescent="0.2">
      <c r="A196" s="4" t="s">
        <v>22</v>
      </c>
      <c r="B196" s="4" t="s">
        <v>109</v>
      </c>
      <c r="C196" s="5">
        <v>0.31401699999999999</v>
      </c>
      <c r="D196" s="6">
        <v>48.495190000000001</v>
      </c>
      <c r="E196" s="6">
        <v>181.6498</v>
      </c>
      <c r="F196" s="6">
        <v>374.57283000000001</v>
      </c>
    </row>
    <row r="197" spans="1:6" x14ac:dyDescent="0.2">
      <c r="A197" s="4" t="s">
        <v>20</v>
      </c>
      <c r="B197" s="4" t="s">
        <v>109</v>
      </c>
      <c r="C197" s="5">
        <v>0.72151900000000002</v>
      </c>
      <c r="D197" s="6">
        <v>33.915529999999997</v>
      </c>
      <c r="E197" s="6">
        <v>100.63934</v>
      </c>
      <c r="F197" s="6">
        <v>296.73522000000003</v>
      </c>
    </row>
    <row r="198" spans="1:6" x14ac:dyDescent="0.2">
      <c r="A198" s="4" t="s">
        <v>19</v>
      </c>
      <c r="B198" s="4" t="s">
        <v>109</v>
      </c>
      <c r="C198" s="5">
        <v>0.451984</v>
      </c>
      <c r="D198" s="6">
        <v>59.003439999999998</v>
      </c>
      <c r="E198" s="6">
        <v>211.68966</v>
      </c>
      <c r="F198" s="6">
        <v>358.77510000000001</v>
      </c>
    </row>
    <row r="199" spans="1:6" x14ac:dyDescent="0.2">
      <c r="A199" s="4" t="s">
        <v>21</v>
      </c>
      <c r="B199" s="4" t="s">
        <v>109</v>
      </c>
      <c r="C199" s="5">
        <v>0.611649</v>
      </c>
      <c r="D199" s="6">
        <v>31.94828</v>
      </c>
      <c r="E199" s="6">
        <v>110.28291</v>
      </c>
      <c r="F199" s="6">
        <v>345.19200999999998</v>
      </c>
    </row>
    <row r="200" spans="1:6" x14ac:dyDescent="0.2">
      <c r="A200" s="4" t="s">
        <v>17</v>
      </c>
      <c r="B200" s="4" t="s">
        <v>109</v>
      </c>
      <c r="C200" s="5">
        <v>0.82711400000000002</v>
      </c>
      <c r="D200" s="6">
        <v>22.649550000000001</v>
      </c>
      <c r="E200" s="6">
        <v>108.27464999999999</v>
      </c>
      <c r="F200" s="6">
        <v>478.04325999999998</v>
      </c>
    </row>
    <row r="201" spans="1:6" x14ac:dyDescent="0.2">
      <c r="A201" s="4" t="s">
        <v>10</v>
      </c>
      <c r="B201" s="4" t="s">
        <v>109</v>
      </c>
      <c r="C201" s="5">
        <v>0.39688299999999999</v>
      </c>
      <c r="D201" s="6">
        <v>60.898119999999999</v>
      </c>
      <c r="E201" s="6">
        <v>138.84707</v>
      </c>
      <c r="F201" s="6">
        <v>227.99896000000001</v>
      </c>
    </row>
    <row r="202" spans="1:6" x14ac:dyDescent="0.2">
      <c r="A202" s="4" t="s">
        <v>9</v>
      </c>
      <c r="B202" s="4" t="s">
        <v>109</v>
      </c>
      <c r="C202" s="5">
        <v>0.60966500000000001</v>
      </c>
      <c r="D202" s="6">
        <v>46.410130000000002</v>
      </c>
      <c r="E202" s="6">
        <v>121.50174</v>
      </c>
      <c r="F202" s="6">
        <v>261.80005999999997</v>
      </c>
    </row>
    <row r="203" spans="1:6" x14ac:dyDescent="0.2">
      <c r="A203" s="4" t="s">
        <v>23</v>
      </c>
      <c r="B203" s="4" t="s">
        <v>109</v>
      </c>
      <c r="C203" s="5">
        <v>0.49096299999999998</v>
      </c>
      <c r="D203" s="6">
        <v>25.670829999999999</v>
      </c>
      <c r="E203" s="6">
        <v>136.68616</v>
      </c>
      <c r="F203" s="6">
        <v>532.45719999999994</v>
      </c>
    </row>
    <row r="204" spans="1:6" x14ac:dyDescent="0.2">
      <c r="A204" s="4" t="s">
        <v>6</v>
      </c>
      <c r="B204" s="4" t="s">
        <v>109</v>
      </c>
      <c r="C204" s="5">
        <v>0.59861699999999995</v>
      </c>
      <c r="D204" s="6">
        <v>42.195489999999999</v>
      </c>
      <c r="E204" s="6">
        <v>60.682450000000003</v>
      </c>
      <c r="F204" s="6">
        <v>143.81265999999999</v>
      </c>
    </row>
    <row r="205" spans="1:6" x14ac:dyDescent="0.2">
      <c r="A205" s="4" t="s">
        <v>1</v>
      </c>
      <c r="B205" s="4" t="s">
        <v>109</v>
      </c>
      <c r="C205" s="5">
        <v>0.53861599999999998</v>
      </c>
      <c r="D205" s="6">
        <v>31.657879999999999</v>
      </c>
      <c r="E205" s="6">
        <v>141.26864</v>
      </c>
      <c r="F205" s="6">
        <v>446.23532999999998</v>
      </c>
    </row>
    <row r="206" spans="1:6" x14ac:dyDescent="0.2">
      <c r="A206" s="4" t="s">
        <v>11</v>
      </c>
      <c r="B206" s="4" t="s">
        <v>109</v>
      </c>
      <c r="C206" s="5">
        <v>0.69511599999999996</v>
      </c>
      <c r="D206" s="6">
        <v>29.341989999999999</v>
      </c>
      <c r="E206" s="6">
        <v>63.433320000000002</v>
      </c>
      <c r="F206" s="6">
        <v>216.18615</v>
      </c>
    </row>
    <row r="207" spans="1:6" x14ac:dyDescent="0.2">
      <c r="A207" s="4" t="s">
        <v>13</v>
      </c>
      <c r="B207" s="4" t="s">
        <v>109</v>
      </c>
      <c r="C207" s="5">
        <v>0.60426500000000005</v>
      </c>
      <c r="D207" s="6">
        <v>29.42062</v>
      </c>
      <c r="E207" s="6">
        <v>134.98410000000001</v>
      </c>
      <c r="F207" s="6">
        <v>458.80784999999997</v>
      </c>
    </row>
    <row r="208" spans="1:6" x14ac:dyDescent="0.2">
      <c r="A208" s="4" t="s">
        <v>4</v>
      </c>
      <c r="B208" s="4" t="s">
        <v>109</v>
      </c>
      <c r="C208" s="5">
        <v>0.107949</v>
      </c>
      <c r="D208" s="6">
        <v>36.54278</v>
      </c>
      <c r="E208" s="6">
        <v>157.23912000000001</v>
      </c>
      <c r="F208" s="6">
        <v>430.28775000000002</v>
      </c>
    </row>
    <row r="209" spans="1:6" x14ac:dyDescent="0.2">
      <c r="A209" s="4" t="s">
        <v>12</v>
      </c>
      <c r="B209" s="4" t="s">
        <v>109</v>
      </c>
      <c r="C209" s="5">
        <v>0.67471899999999996</v>
      </c>
      <c r="D209" s="6">
        <v>31.621839999999999</v>
      </c>
      <c r="E209" s="6">
        <v>95.267849999999996</v>
      </c>
      <c r="F209" s="6">
        <v>301.27231999999998</v>
      </c>
    </row>
    <row r="210" spans="1:6" x14ac:dyDescent="0.2">
      <c r="A210" s="4" t="s">
        <v>25</v>
      </c>
      <c r="B210" s="4" t="s">
        <v>109</v>
      </c>
      <c r="C210" s="5">
        <v>0.37327399999999999</v>
      </c>
      <c r="D210" s="6">
        <v>34.049370000000003</v>
      </c>
      <c r="E210" s="6">
        <v>84.401380000000003</v>
      </c>
      <c r="F210" s="6">
        <v>247.8794</v>
      </c>
    </row>
    <row r="211" spans="1:6" s="11" customFormat="1" x14ac:dyDescent="0.2">
      <c r="A211" s="8" t="s">
        <v>8</v>
      </c>
      <c r="B211" s="8" t="s">
        <v>109</v>
      </c>
      <c r="C211" s="9">
        <v>0.46717999999999998</v>
      </c>
      <c r="D211" s="10">
        <v>54.116370000000003</v>
      </c>
      <c r="E211" s="10">
        <v>139.51639</v>
      </c>
      <c r="F211" s="10">
        <v>257.80811</v>
      </c>
    </row>
    <row r="212" spans="1:6" x14ac:dyDescent="0.2">
      <c r="A212" s="4" t="s">
        <v>15</v>
      </c>
      <c r="B212" s="4" t="s">
        <v>110</v>
      </c>
      <c r="C212" s="5">
        <v>0.20208400000000001</v>
      </c>
      <c r="D212" s="6">
        <v>40.284520000000001</v>
      </c>
      <c r="E212" s="6">
        <v>128.37056999999999</v>
      </c>
      <c r="F212" s="6">
        <v>318.65980000000002</v>
      </c>
    </row>
    <row r="213" spans="1:6" x14ac:dyDescent="0.2">
      <c r="A213" s="4" t="s">
        <v>2</v>
      </c>
      <c r="B213" s="4" t="s">
        <v>110</v>
      </c>
      <c r="C213" s="5">
        <v>0.14471899999999999</v>
      </c>
      <c r="D213" s="6">
        <v>99.070989999999995</v>
      </c>
      <c r="E213" s="6">
        <v>146.04640000000001</v>
      </c>
      <c r="F213" s="6">
        <v>147.41591</v>
      </c>
    </row>
    <row r="214" spans="1:6" x14ac:dyDescent="0.2">
      <c r="A214" s="4" t="s">
        <v>16</v>
      </c>
      <c r="B214" s="4" t="s">
        <v>110</v>
      </c>
      <c r="C214" s="5">
        <v>0.26868999999999998</v>
      </c>
      <c r="D214" s="6">
        <v>47.972880000000004</v>
      </c>
      <c r="E214" s="6">
        <v>141.30941000000001</v>
      </c>
      <c r="F214" s="6">
        <v>294.56106</v>
      </c>
    </row>
    <row r="215" spans="1:6" x14ac:dyDescent="0.2">
      <c r="A215" s="4" t="s">
        <v>18</v>
      </c>
      <c r="B215" s="4" t="s">
        <v>110</v>
      </c>
      <c r="C215" s="5">
        <v>0.88177300000000003</v>
      </c>
      <c r="D215" s="6">
        <v>30.393260000000001</v>
      </c>
      <c r="E215" s="6">
        <v>52.7637</v>
      </c>
      <c r="F215" s="6">
        <v>173.60328999999999</v>
      </c>
    </row>
    <row r="216" spans="1:6" x14ac:dyDescent="0.2">
      <c r="A216" s="4" t="s">
        <v>24</v>
      </c>
      <c r="B216" s="4" t="s">
        <v>110</v>
      </c>
      <c r="C216" s="5">
        <v>0.75905800000000001</v>
      </c>
      <c r="D216" s="6">
        <v>29.262830000000001</v>
      </c>
      <c r="E216" s="6">
        <v>73.825239999999994</v>
      </c>
      <c r="F216" s="6">
        <v>252.28332</v>
      </c>
    </row>
    <row r="217" spans="1:6" x14ac:dyDescent="0.2">
      <c r="A217" s="4" t="s">
        <v>22</v>
      </c>
      <c r="B217" s="4" t="s">
        <v>110</v>
      </c>
      <c r="C217" s="5">
        <v>0.47797400000000001</v>
      </c>
      <c r="D217" s="6">
        <v>45.087510000000002</v>
      </c>
      <c r="E217" s="6">
        <v>159.50955999999999</v>
      </c>
      <c r="F217" s="6">
        <v>353.77771000000001</v>
      </c>
    </row>
    <row r="218" spans="1:6" x14ac:dyDescent="0.2">
      <c r="A218" s="4" t="s">
        <v>20</v>
      </c>
      <c r="B218" s="4" t="s">
        <v>110</v>
      </c>
      <c r="C218" s="5">
        <v>0.66006699999999996</v>
      </c>
      <c r="D218" s="6">
        <v>40.447760000000002</v>
      </c>
      <c r="E218" s="6">
        <v>110.56974</v>
      </c>
      <c r="F218" s="6">
        <v>273.36432000000002</v>
      </c>
    </row>
    <row r="219" spans="1:6" x14ac:dyDescent="0.2">
      <c r="A219" s="4" t="s">
        <v>19</v>
      </c>
      <c r="B219" s="4" t="s">
        <v>110</v>
      </c>
      <c r="C219" s="5">
        <v>0.230568</v>
      </c>
      <c r="D219" s="6">
        <v>59.073039999999999</v>
      </c>
      <c r="E219" s="6">
        <v>176.57945000000001</v>
      </c>
      <c r="F219" s="6">
        <v>298.91717</v>
      </c>
    </row>
    <row r="220" spans="1:6" x14ac:dyDescent="0.2">
      <c r="A220" s="4" t="s">
        <v>21</v>
      </c>
      <c r="B220" s="4" t="s">
        <v>110</v>
      </c>
      <c r="C220" s="5">
        <v>0.86566200000000004</v>
      </c>
      <c r="D220" s="6">
        <v>18.524249999999999</v>
      </c>
      <c r="E220" s="6">
        <v>60.18985</v>
      </c>
      <c r="F220" s="6">
        <v>324.92457000000002</v>
      </c>
    </row>
    <row r="221" spans="1:6" x14ac:dyDescent="0.2">
      <c r="A221" s="4" t="s">
        <v>17</v>
      </c>
      <c r="B221" s="4" t="s">
        <v>110</v>
      </c>
      <c r="C221" s="5">
        <v>0.830816</v>
      </c>
      <c r="D221" s="6">
        <v>21.980309999999999</v>
      </c>
      <c r="E221" s="6">
        <v>98.001710000000003</v>
      </c>
      <c r="F221" s="6">
        <v>445.86138999999997</v>
      </c>
    </row>
    <row r="222" spans="1:6" x14ac:dyDescent="0.2">
      <c r="A222" s="4" t="s">
        <v>10</v>
      </c>
      <c r="B222" s="4" t="s">
        <v>110</v>
      </c>
      <c r="C222" s="5">
        <v>0.41630800000000001</v>
      </c>
      <c r="D222" s="6">
        <v>66.545869999999994</v>
      </c>
      <c r="E222" s="6">
        <v>123.70495</v>
      </c>
      <c r="F222" s="6">
        <v>185.89426</v>
      </c>
    </row>
    <row r="223" spans="1:6" x14ac:dyDescent="0.2">
      <c r="A223" s="4" t="s">
        <v>9</v>
      </c>
      <c r="B223" s="4" t="s">
        <v>110</v>
      </c>
      <c r="C223" s="5">
        <v>0.307614</v>
      </c>
      <c r="D223" s="6">
        <v>60.148099999999999</v>
      </c>
      <c r="E223" s="6">
        <v>143.80499</v>
      </c>
      <c r="F223" s="6">
        <v>239.08484000000001</v>
      </c>
    </row>
    <row r="224" spans="1:6" x14ac:dyDescent="0.2">
      <c r="A224" s="4" t="s">
        <v>23</v>
      </c>
      <c r="B224" s="4" t="s">
        <v>110</v>
      </c>
      <c r="C224" s="5">
        <v>0.730715</v>
      </c>
      <c r="D224" s="6">
        <v>23.398620000000001</v>
      </c>
      <c r="E224" s="6">
        <v>119.04277999999999</v>
      </c>
      <c r="F224" s="6">
        <v>508.75974000000002</v>
      </c>
    </row>
    <row r="225" spans="1:6" x14ac:dyDescent="0.2">
      <c r="A225" s="4" t="s">
        <v>6</v>
      </c>
      <c r="B225" s="4" t="s">
        <v>110</v>
      </c>
      <c r="C225" s="5">
        <v>0.63269500000000001</v>
      </c>
      <c r="D225" s="6">
        <v>31.953880000000002</v>
      </c>
      <c r="E225" s="6">
        <v>40.275910000000003</v>
      </c>
      <c r="F225" s="6">
        <v>126.04387</v>
      </c>
    </row>
    <row r="226" spans="1:6" x14ac:dyDescent="0.2">
      <c r="A226" s="4" t="s">
        <v>1</v>
      </c>
      <c r="B226" s="4" t="s">
        <v>110</v>
      </c>
      <c r="C226" s="5">
        <v>0.39572600000000002</v>
      </c>
      <c r="D226" s="6">
        <v>41.030090000000001</v>
      </c>
      <c r="E226" s="6">
        <v>155.99547999999999</v>
      </c>
      <c r="F226" s="6">
        <v>380.19772</v>
      </c>
    </row>
    <row r="227" spans="1:6" x14ac:dyDescent="0.2">
      <c r="A227" s="4" t="s">
        <v>11</v>
      </c>
      <c r="B227" s="4" t="s">
        <v>110</v>
      </c>
      <c r="C227" s="5">
        <v>0.51665799999999995</v>
      </c>
      <c r="D227" s="6">
        <v>39.415309999999998</v>
      </c>
      <c r="E227" s="6">
        <v>66.472949999999997</v>
      </c>
      <c r="F227" s="6">
        <v>168.64753999999999</v>
      </c>
    </row>
    <row r="228" spans="1:6" x14ac:dyDescent="0.2">
      <c r="A228" s="4" t="s">
        <v>13</v>
      </c>
      <c r="B228" s="4" t="s">
        <v>110</v>
      </c>
      <c r="C228" s="5">
        <v>0.77004899999999998</v>
      </c>
      <c r="D228" s="6">
        <v>22.44323</v>
      </c>
      <c r="E228" s="6">
        <v>92.826009999999997</v>
      </c>
      <c r="F228" s="6">
        <v>413.60363999999998</v>
      </c>
    </row>
    <row r="229" spans="1:6" x14ac:dyDescent="0.2">
      <c r="A229" s="4" t="s">
        <v>4</v>
      </c>
      <c r="B229" s="4" t="s">
        <v>110</v>
      </c>
      <c r="C229" s="5">
        <v>0.275202</v>
      </c>
      <c r="D229" s="6">
        <v>40.958979999999997</v>
      </c>
      <c r="E229" s="6">
        <v>147.48401000000001</v>
      </c>
      <c r="F229" s="6">
        <v>360.07738000000001</v>
      </c>
    </row>
    <row r="230" spans="1:6" x14ac:dyDescent="0.2">
      <c r="A230" s="4" t="s">
        <v>12</v>
      </c>
      <c r="B230" s="4" t="s">
        <v>110</v>
      </c>
      <c r="C230" s="5">
        <v>0.52227500000000004</v>
      </c>
      <c r="D230" s="6">
        <v>50.535299999999999</v>
      </c>
      <c r="E230" s="6">
        <v>156.51569000000001</v>
      </c>
      <c r="F230" s="6">
        <v>309.71559000000002</v>
      </c>
    </row>
    <row r="231" spans="1:6" x14ac:dyDescent="0.2">
      <c r="A231" s="4" t="s">
        <v>25</v>
      </c>
      <c r="B231" s="4" t="s">
        <v>110</v>
      </c>
      <c r="C231" s="5">
        <v>5.9519000000000002E-2</v>
      </c>
      <c r="D231" s="6">
        <v>30.63128</v>
      </c>
      <c r="E231" s="6">
        <v>69.803839999999994</v>
      </c>
      <c r="F231" s="6">
        <v>227.88418999999999</v>
      </c>
    </row>
    <row r="232" spans="1:6" x14ac:dyDescent="0.2">
      <c r="A232" s="4" t="s">
        <v>8</v>
      </c>
      <c r="B232" s="4" t="s">
        <v>110</v>
      </c>
      <c r="C232" s="5">
        <v>0.56700600000000001</v>
      </c>
      <c r="D232" s="6">
        <v>58.073030000000003</v>
      </c>
      <c r="E232" s="6">
        <v>126.46510000000001</v>
      </c>
      <c r="F232" s="6">
        <v>217.76907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FD0E-CBD0-5147-8B3A-929846F2CA0A}">
  <dimension ref="A1:T269"/>
  <sheetViews>
    <sheetView tabSelected="1" zoomScale="94" zoomScaleNormal="94" workbookViewId="0">
      <pane xSplit="3" ySplit="1" topLeftCell="S230" activePane="bottomRight" state="frozen"/>
      <selection pane="topRight" activeCell="D1" sqref="D1"/>
      <selection pane="bottomLeft" activeCell="A2" sqref="A2"/>
      <selection pane="bottomRight" activeCell="W244" sqref="W244"/>
    </sheetView>
  </sheetViews>
  <sheetFormatPr baseColWidth="10" defaultRowHeight="16" x14ac:dyDescent="0.2"/>
  <cols>
    <col min="6" max="6" width="18.6640625" customWidth="1"/>
    <col min="7" max="7" width="23.33203125" customWidth="1"/>
    <col min="8" max="11" width="24.1640625" customWidth="1"/>
    <col min="12" max="12" width="21.5" customWidth="1"/>
    <col min="13" max="13" width="22.6640625" customWidth="1"/>
    <col min="14" max="14" width="24.5" customWidth="1"/>
    <col min="15" max="15" width="20" customWidth="1"/>
    <col min="16" max="16" width="20.6640625" customWidth="1"/>
    <col min="17" max="19" width="11" bestFit="1" customWidth="1"/>
    <col min="20" max="20" width="10.83203125" style="17"/>
  </cols>
  <sheetData>
    <row r="1" spans="1:20" x14ac:dyDescent="0.2">
      <c r="A1" s="12" t="s">
        <v>31</v>
      </c>
      <c r="B1" s="13" t="s">
        <v>30</v>
      </c>
      <c r="C1" s="12" t="s">
        <v>29</v>
      </c>
      <c r="D1" s="12" t="s">
        <v>111</v>
      </c>
      <c r="E1" s="12" t="s">
        <v>27</v>
      </c>
      <c r="F1" s="12" t="s">
        <v>110</v>
      </c>
      <c r="G1" s="12" t="s">
        <v>109</v>
      </c>
      <c r="H1" s="12" t="s">
        <v>101</v>
      </c>
      <c r="I1" s="12" t="s">
        <v>100</v>
      </c>
      <c r="J1" s="12" t="s">
        <v>103</v>
      </c>
      <c r="K1" s="12" t="s">
        <v>102</v>
      </c>
      <c r="L1" s="12" t="s">
        <v>107</v>
      </c>
      <c r="M1" s="12" t="s">
        <v>106</v>
      </c>
      <c r="N1" s="12" t="s">
        <v>104</v>
      </c>
      <c r="O1" s="12" t="s">
        <v>105</v>
      </c>
      <c r="P1" s="12" t="s">
        <v>108</v>
      </c>
      <c r="Q1" s="1" t="s">
        <v>112</v>
      </c>
      <c r="R1" s="1" t="s">
        <v>113</v>
      </c>
      <c r="S1" s="1" t="s">
        <v>114</v>
      </c>
      <c r="T1" s="1" t="s">
        <v>119</v>
      </c>
    </row>
    <row r="2" spans="1:20" x14ac:dyDescent="0.2">
      <c r="A2">
        <v>10</v>
      </c>
      <c r="B2">
        <v>35</v>
      </c>
      <c r="C2" t="s">
        <v>15</v>
      </c>
      <c r="D2" t="s">
        <v>117</v>
      </c>
      <c r="E2">
        <v>1</v>
      </c>
      <c r="F2" s="14">
        <v>410.57523809523792</v>
      </c>
      <c r="G2" s="14">
        <v>490.88259109311741</v>
      </c>
      <c r="H2" s="14">
        <v>723.31809523809545</v>
      </c>
      <c r="I2" s="14">
        <v>808.7290688259111</v>
      </c>
      <c r="J2" s="14">
        <f t="shared" ref="J2:J25" si="0">F2+H2</f>
        <v>1133.8933333333334</v>
      </c>
      <c r="K2" s="14">
        <f t="shared" ref="K2:K25" si="1">G2+I2</f>
        <v>1299.6116599190286</v>
      </c>
      <c r="L2" s="14">
        <f t="shared" ref="L2:L25" si="2">G2-F2</f>
        <v>80.307352997879491</v>
      </c>
      <c r="M2" s="14">
        <f t="shared" ref="M2:M25" si="3">K2-J2</f>
        <v>165.71832658569519</v>
      </c>
      <c r="N2" s="15">
        <v>56.175675049900221</v>
      </c>
      <c r="O2" s="15">
        <v>77.922403539823009</v>
      </c>
      <c r="P2" s="15">
        <f t="shared" ref="P2:P25" si="4">N2-O2</f>
        <v>-21.746728489922788</v>
      </c>
      <c r="Q2" s="2">
        <v>0.128</v>
      </c>
      <c r="R2" s="2">
        <v>0.16400000000000001</v>
      </c>
      <c r="S2" s="2">
        <v>0.70799999999999996</v>
      </c>
      <c r="T2" s="18" t="s">
        <v>122</v>
      </c>
    </row>
    <row r="3" spans="1:20" x14ac:dyDescent="0.2">
      <c r="A3">
        <v>10</v>
      </c>
      <c r="B3">
        <v>152</v>
      </c>
      <c r="C3" t="s">
        <v>15</v>
      </c>
      <c r="D3" t="s">
        <v>117</v>
      </c>
      <c r="E3">
        <v>2</v>
      </c>
      <c r="F3" s="14">
        <v>316.2369158143191</v>
      </c>
      <c r="G3" s="14">
        <v>360.92653846153814</v>
      </c>
      <c r="H3" s="14">
        <v>598.60833988985041</v>
      </c>
      <c r="I3" s="14">
        <v>709.22307692307686</v>
      </c>
      <c r="J3" s="14">
        <f t="shared" si="0"/>
        <v>914.84525570416952</v>
      </c>
      <c r="K3" s="14">
        <f t="shared" si="1"/>
        <v>1070.1496153846151</v>
      </c>
      <c r="L3" s="14">
        <f t="shared" si="2"/>
        <v>44.689622647219039</v>
      </c>
      <c r="M3" s="14">
        <f t="shared" si="3"/>
        <v>155.3043596804456</v>
      </c>
      <c r="N3" s="15">
        <v>52.973053493013978</v>
      </c>
      <c r="O3" s="15">
        <v>45.725583132530119</v>
      </c>
      <c r="P3" s="15">
        <f t="shared" si="4"/>
        <v>7.2474703604838595</v>
      </c>
      <c r="Q3" s="2">
        <v>0.16</v>
      </c>
      <c r="R3" s="2">
        <v>0.17599999999999999</v>
      </c>
      <c r="S3" s="2">
        <v>0.66400000000000003</v>
      </c>
      <c r="T3" s="18" t="s">
        <v>122</v>
      </c>
    </row>
    <row r="4" spans="1:20" x14ac:dyDescent="0.2">
      <c r="A4">
        <v>20</v>
      </c>
      <c r="B4">
        <v>247</v>
      </c>
      <c r="C4" t="s">
        <v>15</v>
      </c>
      <c r="D4" t="s">
        <v>117</v>
      </c>
      <c r="E4">
        <v>3</v>
      </c>
      <c r="F4" s="14">
        <v>386.67800586510253</v>
      </c>
      <c r="G4" s="14">
        <v>326.17493517718236</v>
      </c>
      <c r="H4" s="14">
        <v>834.09853372434009</v>
      </c>
      <c r="I4" s="14">
        <v>783.34382022471891</v>
      </c>
      <c r="J4" s="14">
        <f t="shared" si="0"/>
        <v>1220.7765395894426</v>
      </c>
      <c r="K4" s="14">
        <f t="shared" si="1"/>
        <v>1109.5187554019012</v>
      </c>
      <c r="L4" s="14">
        <f t="shared" si="2"/>
        <v>-60.503070687920172</v>
      </c>
      <c r="M4" s="14">
        <f t="shared" si="3"/>
        <v>-111.25778418754135</v>
      </c>
      <c r="N4" s="15">
        <v>48.792063102998696</v>
      </c>
      <c r="O4" s="15">
        <v>91.716063102998703</v>
      </c>
      <c r="P4" s="15">
        <f t="shared" si="4"/>
        <v>-42.924000000000007</v>
      </c>
      <c r="Q4" s="2">
        <v>0.185</v>
      </c>
      <c r="R4" s="2">
        <v>0.18099999999999999</v>
      </c>
      <c r="S4" s="2">
        <v>0.63300000000000001</v>
      </c>
      <c r="T4" s="18" t="s">
        <v>122</v>
      </c>
    </row>
    <row r="5" spans="1:20" x14ac:dyDescent="0.2">
      <c r="A5">
        <v>10</v>
      </c>
      <c r="B5">
        <v>248</v>
      </c>
      <c r="C5" t="s">
        <v>15</v>
      </c>
      <c r="D5" t="s">
        <v>117</v>
      </c>
      <c r="E5">
        <v>4</v>
      </c>
      <c r="F5" s="14">
        <v>377.77566765578632</v>
      </c>
      <c r="G5" s="14">
        <v>453.75866261398147</v>
      </c>
      <c r="H5" s="14">
        <v>610.1376854599406</v>
      </c>
      <c r="I5" s="14">
        <v>708.27811550151978</v>
      </c>
      <c r="J5" s="14">
        <f t="shared" si="0"/>
        <v>987.91335311572698</v>
      </c>
      <c r="K5" s="14">
        <f t="shared" si="1"/>
        <v>1162.0367781155012</v>
      </c>
      <c r="L5" s="14">
        <f t="shared" si="2"/>
        <v>75.98299495819515</v>
      </c>
      <c r="M5" s="14">
        <f t="shared" si="3"/>
        <v>174.12342499977422</v>
      </c>
      <c r="N5" s="15">
        <v>42.511799999999994</v>
      </c>
      <c r="O5" s="15">
        <v>38.9392546553809</v>
      </c>
      <c r="P5" s="15">
        <f t="shared" si="4"/>
        <v>3.572545344619094</v>
      </c>
      <c r="Q5" s="2">
        <v>7.1999999999999995E-2</v>
      </c>
      <c r="R5" s="2">
        <v>0.188</v>
      </c>
      <c r="S5" s="2">
        <v>0.74</v>
      </c>
      <c r="T5" s="18" t="s">
        <v>122</v>
      </c>
    </row>
    <row r="6" spans="1:20" x14ac:dyDescent="0.2">
      <c r="A6">
        <v>10</v>
      </c>
      <c r="B6">
        <v>132</v>
      </c>
      <c r="C6" t="s">
        <v>15</v>
      </c>
      <c r="D6" t="s">
        <v>116</v>
      </c>
      <c r="E6">
        <v>3</v>
      </c>
      <c r="F6" s="14">
        <v>222.65513004835958</v>
      </c>
      <c r="G6" s="14">
        <v>251.1885292567211</v>
      </c>
      <c r="H6" s="14">
        <v>610.12259835315626</v>
      </c>
      <c r="I6" s="14">
        <v>380.2981549815496</v>
      </c>
      <c r="J6" s="14">
        <f t="shared" si="0"/>
        <v>832.77772840151579</v>
      </c>
      <c r="K6" s="14">
        <f t="shared" si="1"/>
        <v>631.48668423827075</v>
      </c>
      <c r="L6" s="14">
        <f t="shared" si="2"/>
        <v>28.533399208361516</v>
      </c>
      <c r="M6" s="14">
        <f t="shared" si="3"/>
        <v>-201.29104416324503</v>
      </c>
      <c r="N6" s="15">
        <v>81.606200000000001</v>
      </c>
      <c r="O6" s="15">
        <v>33.378079830148621</v>
      </c>
      <c r="P6" s="15">
        <f t="shared" si="4"/>
        <v>48.22812016985138</v>
      </c>
      <c r="Q6" s="2">
        <v>0.08</v>
      </c>
      <c r="R6" s="2">
        <v>0.19600000000000001</v>
      </c>
      <c r="S6" s="2">
        <v>0.72399999999999998</v>
      </c>
      <c r="T6" s="18" t="s">
        <v>122</v>
      </c>
    </row>
    <row r="7" spans="1:20" x14ac:dyDescent="0.2">
      <c r="A7">
        <v>10</v>
      </c>
      <c r="B7">
        <v>135</v>
      </c>
      <c r="C7" t="s">
        <v>15</v>
      </c>
      <c r="D7" t="s">
        <v>116</v>
      </c>
      <c r="E7">
        <v>4</v>
      </c>
      <c r="F7" s="14">
        <v>151.92756669361341</v>
      </c>
      <c r="G7" s="14">
        <v>265.89473684210509</v>
      </c>
      <c r="H7" s="14">
        <v>312.43168957154415</v>
      </c>
      <c r="I7" s="14">
        <v>574.99736842105267</v>
      </c>
      <c r="J7" s="14">
        <f t="shared" si="0"/>
        <v>464.35925626515757</v>
      </c>
      <c r="K7" s="14">
        <f t="shared" si="1"/>
        <v>840.89210526315776</v>
      </c>
      <c r="L7" s="14">
        <f t="shared" si="2"/>
        <v>113.96717014849168</v>
      </c>
      <c r="M7" s="14">
        <f t="shared" si="3"/>
        <v>376.53284899800019</v>
      </c>
      <c r="N7" s="15">
        <v>25.824720679320677</v>
      </c>
      <c r="O7" s="15">
        <v>17.549599999999998</v>
      </c>
      <c r="P7" s="15">
        <f t="shared" si="4"/>
        <v>8.2751206793206791</v>
      </c>
      <c r="Q7" s="2">
        <v>7.0000000000000007E-2</v>
      </c>
      <c r="R7" s="2">
        <v>0.16500000000000001</v>
      </c>
      <c r="S7" s="2">
        <v>0.76600000000000001</v>
      </c>
      <c r="T7" s="18" t="s">
        <v>122</v>
      </c>
    </row>
    <row r="8" spans="1:20" x14ac:dyDescent="0.2">
      <c r="A8">
        <v>10</v>
      </c>
      <c r="B8">
        <v>198</v>
      </c>
      <c r="C8" t="s">
        <v>15</v>
      </c>
      <c r="D8" t="s">
        <v>116</v>
      </c>
      <c r="E8">
        <v>1</v>
      </c>
      <c r="F8" s="14">
        <v>180.64727272727268</v>
      </c>
      <c r="G8" s="14">
        <v>177.54632587859388</v>
      </c>
      <c r="H8" s="14">
        <v>384.25818181818209</v>
      </c>
      <c r="I8" s="14">
        <v>485.83130990415356</v>
      </c>
      <c r="J8" s="14">
        <f t="shared" si="0"/>
        <v>564.90545454545475</v>
      </c>
      <c r="K8" s="14">
        <f t="shared" si="1"/>
        <v>663.37763578274746</v>
      </c>
      <c r="L8" s="14">
        <f t="shared" si="2"/>
        <v>-3.1009468486788023</v>
      </c>
      <c r="M8" s="14">
        <f t="shared" si="3"/>
        <v>98.472181237292716</v>
      </c>
      <c r="N8" s="15">
        <v>32.905482352941178</v>
      </c>
      <c r="O8" s="15">
        <v>45.655050160771722</v>
      </c>
      <c r="P8" s="15">
        <f t="shared" si="4"/>
        <v>-12.749567807830545</v>
      </c>
      <c r="Q8" s="2">
        <v>0.21099999999999999</v>
      </c>
      <c r="R8" s="2">
        <v>0.41699999999999998</v>
      </c>
      <c r="S8" s="2">
        <v>0.372</v>
      </c>
      <c r="T8" s="18" t="s">
        <v>122</v>
      </c>
    </row>
    <row r="9" spans="1:20" x14ac:dyDescent="0.2">
      <c r="A9">
        <v>10</v>
      </c>
      <c r="B9">
        <v>271</v>
      </c>
      <c r="C9" t="s">
        <v>15</v>
      </c>
      <c r="D9" t="s">
        <v>116</v>
      </c>
      <c r="E9">
        <v>2</v>
      </c>
      <c r="F9" s="14">
        <v>411.27413891531825</v>
      </c>
      <c r="G9" s="14">
        <v>493.50257064721904</v>
      </c>
      <c r="H9" s="14">
        <v>819.08734538534713</v>
      </c>
      <c r="I9" s="14">
        <v>884.21513217866902</v>
      </c>
      <c r="J9" s="14">
        <f t="shared" si="0"/>
        <v>1230.3614843006653</v>
      </c>
      <c r="K9" s="14">
        <f t="shared" si="1"/>
        <v>1377.717702825888</v>
      </c>
      <c r="L9" s="14">
        <f t="shared" si="2"/>
        <v>82.228431731900798</v>
      </c>
      <c r="M9" s="14">
        <f t="shared" si="3"/>
        <v>147.35621852522263</v>
      </c>
      <c r="N9" s="15">
        <v>61.849635005574129</v>
      </c>
      <c r="O9" s="15">
        <v>70.51901944809461</v>
      </c>
      <c r="P9" s="15">
        <f t="shared" si="4"/>
        <v>-8.6693844425204816</v>
      </c>
      <c r="Q9" s="2">
        <v>0.214</v>
      </c>
      <c r="R9" s="2">
        <v>0.17799999999999999</v>
      </c>
      <c r="S9" s="2">
        <v>0.60799999999999998</v>
      </c>
      <c r="T9" s="18" t="s">
        <v>122</v>
      </c>
    </row>
    <row r="10" spans="1:20" x14ac:dyDescent="0.2">
      <c r="A10">
        <v>20</v>
      </c>
      <c r="B10">
        <v>153</v>
      </c>
      <c r="C10" t="s">
        <v>15</v>
      </c>
      <c r="D10" t="s">
        <v>118</v>
      </c>
      <c r="E10">
        <v>4</v>
      </c>
      <c r="F10" s="14">
        <v>240.41878172588829</v>
      </c>
      <c r="G10" s="14">
        <v>242.86678899082574</v>
      </c>
      <c r="H10" s="14">
        <v>746.25989847715732</v>
      </c>
      <c r="I10" s="14">
        <v>1047.4788990825684</v>
      </c>
      <c r="J10" s="14">
        <f t="shared" si="0"/>
        <v>986.67868020304559</v>
      </c>
      <c r="K10" s="14">
        <f t="shared" si="1"/>
        <v>1290.3456880733943</v>
      </c>
      <c r="L10" s="14">
        <f t="shared" si="2"/>
        <v>2.4480072649374449</v>
      </c>
      <c r="M10" s="14">
        <f t="shared" si="3"/>
        <v>303.6670078703487</v>
      </c>
      <c r="N10" s="15">
        <v>22.801600000000008</v>
      </c>
      <c r="O10" s="15">
        <v>84.384399999999999</v>
      </c>
      <c r="P10" s="15">
        <f t="shared" si="4"/>
        <v>-61.582799999999992</v>
      </c>
      <c r="Q10" s="2">
        <v>0.22900000000000001</v>
      </c>
      <c r="R10" s="2">
        <v>0.42099999999999999</v>
      </c>
      <c r="S10" s="2">
        <v>0.35</v>
      </c>
      <c r="T10" s="18" t="s">
        <v>122</v>
      </c>
    </row>
    <row r="11" spans="1:20" x14ac:dyDescent="0.2">
      <c r="A11">
        <v>10</v>
      </c>
      <c r="B11">
        <v>240</v>
      </c>
      <c r="C11" t="s">
        <v>15</v>
      </c>
      <c r="D11" t="s">
        <v>118</v>
      </c>
      <c r="E11">
        <v>3</v>
      </c>
      <c r="F11" s="14">
        <v>131.76617731172482</v>
      </c>
      <c r="G11" s="14">
        <v>53.898599527930124</v>
      </c>
      <c r="H11" s="14">
        <v>632.82440419447073</v>
      </c>
      <c r="I11" s="14">
        <v>679.69472856018876</v>
      </c>
      <c r="J11" s="14">
        <f t="shared" si="0"/>
        <v>764.59058150619558</v>
      </c>
      <c r="K11" s="14">
        <f t="shared" si="1"/>
        <v>733.59332808811894</v>
      </c>
      <c r="L11" s="14">
        <f t="shared" si="2"/>
        <v>-77.867577783794701</v>
      </c>
      <c r="M11" s="14">
        <f t="shared" si="3"/>
        <v>-30.997253418076639</v>
      </c>
      <c r="N11" s="15">
        <v>16.050367265469063</v>
      </c>
      <c r="O11" s="15">
        <v>17.518857142857144</v>
      </c>
      <c r="P11" s="15">
        <f t="shared" si="4"/>
        <v>-1.4684898773880803</v>
      </c>
      <c r="Q11" s="2">
        <v>8.6999999999999994E-2</v>
      </c>
      <c r="R11" s="2">
        <v>0.16800000000000001</v>
      </c>
      <c r="S11" s="2">
        <v>0.74399999999999999</v>
      </c>
      <c r="T11" s="18" t="s">
        <v>122</v>
      </c>
    </row>
    <row r="12" spans="1:20" x14ac:dyDescent="0.2">
      <c r="A12">
        <v>20</v>
      </c>
      <c r="B12">
        <v>283</v>
      </c>
      <c r="C12" t="s">
        <v>15</v>
      </c>
      <c r="D12" t="s">
        <v>118</v>
      </c>
      <c r="E12">
        <v>2</v>
      </c>
      <c r="F12" s="14">
        <v>494.9614360162131</v>
      </c>
      <c r="G12" s="14">
        <v>458.65728643216079</v>
      </c>
      <c r="H12" s="14">
        <v>758.23879559930504</v>
      </c>
      <c r="I12" s="14">
        <v>985.01306532663307</v>
      </c>
      <c r="J12" s="14">
        <f t="shared" si="0"/>
        <v>1253.2002316155181</v>
      </c>
      <c r="K12" s="14">
        <f t="shared" si="1"/>
        <v>1443.6703517587939</v>
      </c>
      <c r="L12" s="14">
        <f t="shared" si="2"/>
        <v>-36.304149584052311</v>
      </c>
      <c r="M12" s="14">
        <f t="shared" si="3"/>
        <v>190.47012014327584</v>
      </c>
      <c r="N12" s="15">
        <v>91.522000000000006</v>
      </c>
      <c r="O12" s="15">
        <v>95.083600000000004</v>
      </c>
      <c r="P12" s="15">
        <f t="shared" si="4"/>
        <v>-3.5615999999999985</v>
      </c>
      <c r="Q12" s="2">
        <v>0.13</v>
      </c>
      <c r="R12" s="2">
        <v>0.56599999999999995</v>
      </c>
      <c r="S12" s="2">
        <v>0.30399999999999999</v>
      </c>
      <c r="T12" s="18" t="s">
        <v>122</v>
      </c>
    </row>
    <row r="13" spans="1:20" x14ac:dyDescent="0.2">
      <c r="A13">
        <v>20</v>
      </c>
      <c r="B13">
        <v>290</v>
      </c>
      <c r="C13" t="s">
        <v>15</v>
      </c>
      <c r="D13" t="s">
        <v>118</v>
      </c>
      <c r="E13">
        <v>1</v>
      </c>
      <c r="F13" s="14">
        <v>499.00122699386498</v>
      </c>
      <c r="G13" s="14">
        <v>510.36342119419038</v>
      </c>
      <c r="H13" s="14">
        <v>754.70061349693242</v>
      </c>
      <c r="I13" s="14">
        <v>953.87412587412575</v>
      </c>
      <c r="J13" s="14">
        <f t="shared" si="0"/>
        <v>1253.7018404907974</v>
      </c>
      <c r="K13" s="14">
        <f t="shared" si="1"/>
        <v>1464.2375470683162</v>
      </c>
      <c r="L13" s="14">
        <f t="shared" si="2"/>
        <v>11.362194200325405</v>
      </c>
      <c r="M13" s="14">
        <f t="shared" si="3"/>
        <v>210.53570657751879</v>
      </c>
      <c r="N13" s="15">
        <v>96.554800000000014</v>
      </c>
      <c r="O13" s="15">
        <v>99.403600000000012</v>
      </c>
      <c r="P13" s="15">
        <f t="shared" si="4"/>
        <v>-2.8487999999999971</v>
      </c>
      <c r="Q13" s="2">
        <v>0.193</v>
      </c>
      <c r="R13" s="2">
        <v>0.36499999999999999</v>
      </c>
      <c r="S13" s="2">
        <v>0.442</v>
      </c>
      <c r="T13" s="18" t="s">
        <v>122</v>
      </c>
    </row>
    <row r="14" spans="1:20" x14ac:dyDescent="0.2">
      <c r="A14">
        <v>20</v>
      </c>
      <c r="B14">
        <v>31</v>
      </c>
      <c r="C14" t="s">
        <v>2</v>
      </c>
      <c r="D14" t="s">
        <v>115</v>
      </c>
      <c r="E14">
        <v>3</v>
      </c>
      <c r="F14" s="14">
        <v>127.05628742514961</v>
      </c>
      <c r="G14" s="14">
        <v>121.69797570850197</v>
      </c>
      <c r="H14" s="14">
        <v>213.27305389221559</v>
      </c>
      <c r="I14" s="14">
        <v>209.64777327935218</v>
      </c>
      <c r="J14" s="14">
        <f t="shared" si="0"/>
        <v>340.32934131736522</v>
      </c>
      <c r="K14" s="14">
        <f t="shared" si="1"/>
        <v>331.34574898785417</v>
      </c>
      <c r="L14" s="14">
        <f t="shared" si="2"/>
        <v>-5.3583117166476342</v>
      </c>
      <c r="M14" s="14">
        <f t="shared" si="3"/>
        <v>-8.9835923295110547</v>
      </c>
      <c r="N14" s="15">
        <v>18.045999999999999</v>
      </c>
      <c r="O14" s="15">
        <v>26.259999999999998</v>
      </c>
      <c r="P14" s="15">
        <f t="shared" si="4"/>
        <v>-8.2139999999999986</v>
      </c>
      <c r="Q14" s="2">
        <v>9.2999999999999999E-2</v>
      </c>
      <c r="R14" s="2">
        <v>6.4000000000000001E-2</v>
      </c>
      <c r="S14" s="2">
        <v>0.84299999999999997</v>
      </c>
      <c r="T14" s="19" t="s">
        <v>121</v>
      </c>
    </row>
    <row r="15" spans="1:20" x14ac:dyDescent="0.2">
      <c r="A15">
        <v>20</v>
      </c>
      <c r="B15">
        <v>73</v>
      </c>
      <c r="C15" t="s">
        <v>2</v>
      </c>
      <c r="D15" t="s">
        <v>115</v>
      </c>
      <c r="E15">
        <v>4</v>
      </c>
      <c r="F15" s="14">
        <v>92.211262135922283</v>
      </c>
      <c r="G15" s="14">
        <v>113.28919597989945</v>
      </c>
      <c r="H15" s="14">
        <v>366.88310679611646</v>
      </c>
      <c r="I15" s="14">
        <v>259.89874371859287</v>
      </c>
      <c r="J15" s="14">
        <f t="shared" si="0"/>
        <v>459.09436893203872</v>
      </c>
      <c r="K15" s="14">
        <f t="shared" si="1"/>
        <v>373.1879396984923</v>
      </c>
      <c r="L15" s="14">
        <f t="shared" si="2"/>
        <v>21.077933843977164</v>
      </c>
      <c r="M15" s="14">
        <f t="shared" si="3"/>
        <v>-85.906429233546419</v>
      </c>
      <c r="N15" s="15">
        <v>11.871400000000001</v>
      </c>
      <c r="O15" s="15">
        <v>31.133799999999997</v>
      </c>
      <c r="P15" s="15">
        <f t="shared" si="4"/>
        <v>-19.262399999999996</v>
      </c>
      <c r="Q15" s="2">
        <v>0.09</v>
      </c>
      <c r="R15" s="2">
        <v>4.9000000000000002E-2</v>
      </c>
      <c r="S15" s="2">
        <v>0.86099999999999999</v>
      </c>
      <c r="T15" s="19" t="s">
        <v>121</v>
      </c>
    </row>
    <row r="16" spans="1:20" x14ac:dyDescent="0.2">
      <c r="A16">
        <v>20</v>
      </c>
      <c r="B16">
        <v>126</v>
      </c>
      <c r="C16" t="s">
        <v>2</v>
      </c>
      <c r="D16" t="s">
        <v>115</v>
      </c>
      <c r="E16">
        <v>2</v>
      </c>
      <c r="F16" s="14">
        <v>53.990839694656358</v>
      </c>
      <c r="G16" s="14">
        <v>120.50642201834852</v>
      </c>
      <c r="H16" s="14">
        <v>129.19236641221372</v>
      </c>
      <c r="I16" s="14">
        <v>223.40036697247697</v>
      </c>
      <c r="J16" s="14">
        <f t="shared" si="0"/>
        <v>183.18320610687007</v>
      </c>
      <c r="K16" s="14">
        <f t="shared" si="1"/>
        <v>343.90678899082548</v>
      </c>
      <c r="L16" s="14">
        <f t="shared" si="2"/>
        <v>66.515582323692158</v>
      </c>
      <c r="M16" s="14">
        <f t="shared" si="3"/>
        <v>160.7235828839554</v>
      </c>
      <c r="N16" s="15">
        <v>14.506677432712218</v>
      </c>
      <c r="O16" s="15">
        <v>14.866677432712214</v>
      </c>
      <c r="P16" s="15">
        <f t="shared" si="4"/>
        <v>-0.35999999999999588</v>
      </c>
      <c r="Q16" s="2">
        <v>4.5999999999999999E-2</v>
      </c>
      <c r="R16" s="2">
        <v>-3.6999999999999998E-2</v>
      </c>
      <c r="S16" s="2">
        <v>0.99199999999999999</v>
      </c>
      <c r="T16" s="19" t="s">
        <v>121</v>
      </c>
    </row>
    <row r="17" spans="1:20" x14ac:dyDescent="0.2">
      <c r="A17">
        <v>20</v>
      </c>
      <c r="B17">
        <v>172</v>
      </c>
      <c r="C17" t="s">
        <v>2</v>
      </c>
      <c r="D17" t="s">
        <v>115</v>
      </c>
      <c r="E17">
        <v>1</v>
      </c>
      <c r="F17" s="14">
        <v>52.690587077730342</v>
      </c>
      <c r="G17" s="14">
        <v>91.032843450479191</v>
      </c>
      <c r="H17" s="14">
        <v>96.433715972449875</v>
      </c>
      <c r="I17" s="14">
        <v>127.83335463258788</v>
      </c>
      <c r="J17" s="14">
        <f t="shared" si="0"/>
        <v>149.12430305018023</v>
      </c>
      <c r="K17" s="14">
        <f t="shared" si="1"/>
        <v>218.86619808306708</v>
      </c>
      <c r="L17" s="14">
        <f t="shared" si="2"/>
        <v>38.342256372748849</v>
      </c>
      <c r="M17" s="14">
        <f t="shared" si="3"/>
        <v>69.741895032886845</v>
      </c>
      <c r="N17" s="15">
        <v>12.696888888888889</v>
      </c>
      <c r="O17" s="15">
        <v>10.64608888888889</v>
      </c>
      <c r="P17" s="15">
        <f t="shared" si="4"/>
        <v>2.0507999999999988</v>
      </c>
      <c r="Q17" s="2">
        <v>9.1999999999999998E-2</v>
      </c>
      <c r="R17" s="2">
        <v>6.5000000000000002E-2</v>
      </c>
      <c r="S17" s="2">
        <v>0.84299999999999997</v>
      </c>
      <c r="T17" s="19" t="s">
        <v>121</v>
      </c>
    </row>
    <row r="18" spans="1:20" x14ac:dyDescent="0.2">
      <c r="A18">
        <v>20</v>
      </c>
      <c r="B18">
        <v>145</v>
      </c>
      <c r="C18" t="s">
        <v>2</v>
      </c>
      <c r="D18" t="s">
        <v>117</v>
      </c>
      <c r="E18">
        <v>1</v>
      </c>
      <c r="F18" s="14">
        <v>151.38120330318515</v>
      </c>
      <c r="G18" s="14">
        <v>213.77359855334529</v>
      </c>
      <c r="H18" s="14">
        <v>271.77097915847418</v>
      </c>
      <c r="I18" s="14">
        <v>353.00050632911388</v>
      </c>
      <c r="J18" s="14">
        <f t="shared" si="0"/>
        <v>423.15218246165932</v>
      </c>
      <c r="K18" s="14">
        <f t="shared" si="1"/>
        <v>566.77410488245914</v>
      </c>
      <c r="L18" s="14">
        <f t="shared" si="2"/>
        <v>62.392395250160149</v>
      </c>
      <c r="M18" s="14">
        <f t="shared" si="3"/>
        <v>143.62192242079982</v>
      </c>
      <c r="N18" s="15">
        <v>22.447000000000006</v>
      </c>
      <c r="O18" s="15">
        <v>19.000600000000002</v>
      </c>
      <c r="P18" s="15">
        <f t="shared" si="4"/>
        <v>3.4464000000000041</v>
      </c>
      <c r="Q18" s="2">
        <v>9.9000000000000005E-2</v>
      </c>
      <c r="R18" s="2">
        <v>8.5999999999999993E-2</v>
      </c>
      <c r="S18" s="2">
        <v>0.81399999999999995</v>
      </c>
      <c r="T18" s="19" t="s">
        <v>121</v>
      </c>
    </row>
    <row r="19" spans="1:20" x14ac:dyDescent="0.2">
      <c r="A19">
        <v>20</v>
      </c>
      <c r="B19">
        <v>170</v>
      </c>
      <c r="C19" t="s">
        <v>2</v>
      </c>
      <c r="D19" t="s">
        <v>117</v>
      </c>
      <c r="E19">
        <v>3</v>
      </c>
      <c r="F19" s="14">
        <v>210.44379172229623</v>
      </c>
      <c r="G19" s="14">
        <v>211.88296409472872</v>
      </c>
      <c r="H19" s="14">
        <v>349.39065420560752</v>
      </c>
      <c r="I19" s="14">
        <v>387.87318563789148</v>
      </c>
      <c r="J19" s="14">
        <f t="shared" si="0"/>
        <v>559.83444592790374</v>
      </c>
      <c r="K19" s="14">
        <f t="shared" si="1"/>
        <v>599.7561497326202</v>
      </c>
      <c r="L19" s="14">
        <f t="shared" si="2"/>
        <v>1.4391723724324947</v>
      </c>
      <c r="M19" s="14">
        <f t="shared" si="3"/>
        <v>39.921703804716458</v>
      </c>
      <c r="N19" s="15">
        <v>41.821799999999996</v>
      </c>
      <c r="O19" s="15">
        <v>44.447400000000002</v>
      </c>
      <c r="P19" s="15">
        <f t="shared" si="4"/>
        <v>-2.6256000000000057</v>
      </c>
      <c r="Q19" s="2">
        <v>0.15</v>
      </c>
      <c r="R19" s="2">
        <v>9.7000000000000003E-2</v>
      </c>
      <c r="S19" s="2">
        <v>0.753</v>
      </c>
      <c r="T19" s="19" t="s">
        <v>121</v>
      </c>
    </row>
    <row r="20" spans="1:20" x14ac:dyDescent="0.2">
      <c r="A20">
        <v>20</v>
      </c>
      <c r="B20">
        <v>192</v>
      </c>
      <c r="C20" t="s">
        <v>2</v>
      </c>
      <c r="D20" t="s">
        <v>117</v>
      </c>
      <c r="E20">
        <v>2</v>
      </c>
      <c r="F20" s="14">
        <v>128.84295302013408</v>
      </c>
      <c r="G20" s="14">
        <v>156.71647765176775</v>
      </c>
      <c r="H20" s="14">
        <v>212.47785234899328</v>
      </c>
      <c r="I20" s="14">
        <v>226.48058705803859</v>
      </c>
      <c r="J20" s="14">
        <f t="shared" si="0"/>
        <v>341.32080536912736</v>
      </c>
      <c r="K20" s="14">
        <f t="shared" si="1"/>
        <v>383.19706470980634</v>
      </c>
      <c r="L20" s="14">
        <f t="shared" si="2"/>
        <v>27.873524631633671</v>
      </c>
      <c r="M20" s="14">
        <f t="shared" si="3"/>
        <v>41.876259340678985</v>
      </c>
      <c r="N20" s="15">
        <v>18.865199999999998</v>
      </c>
      <c r="O20" s="15">
        <v>21.226799999999994</v>
      </c>
      <c r="P20" s="15">
        <f t="shared" si="4"/>
        <v>-2.3615999999999957</v>
      </c>
      <c r="Q20" s="2">
        <v>3.3000000000000002E-2</v>
      </c>
      <c r="R20" s="2">
        <v>6.2E-2</v>
      </c>
      <c r="S20" s="2">
        <v>0.90500000000000003</v>
      </c>
      <c r="T20" s="19" t="s">
        <v>121</v>
      </c>
    </row>
    <row r="21" spans="1:20" x14ac:dyDescent="0.2">
      <c r="A21">
        <v>20</v>
      </c>
      <c r="B21">
        <v>308</v>
      </c>
      <c r="C21" t="s">
        <v>2</v>
      </c>
      <c r="D21" t="s">
        <v>117</v>
      </c>
      <c r="E21">
        <v>4</v>
      </c>
      <c r="F21" s="14">
        <v>117.69494505494491</v>
      </c>
      <c r="G21" s="14">
        <v>131.08982035928133</v>
      </c>
      <c r="H21" s="14">
        <v>218.734945054945</v>
      </c>
      <c r="I21" s="14">
        <v>185.54251497005987</v>
      </c>
      <c r="J21" s="14">
        <f t="shared" si="0"/>
        <v>336.42989010988993</v>
      </c>
      <c r="K21" s="14">
        <f t="shared" si="1"/>
        <v>316.63233532934123</v>
      </c>
      <c r="L21" s="14">
        <f t="shared" si="2"/>
        <v>13.394875304336423</v>
      </c>
      <c r="M21" s="14">
        <f t="shared" si="3"/>
        <v>-19.797554780548694</v>
      </c>
      <c r="N21" s="15">
        <v>12.700799999999997</v>
      </c>
      <c r="O21" s="15">
        <v>13.6812</v>
      </c>
      <c r="P21" s="15">
        <f t="shared" si="4"/>
        <v>-0.98040000000000305</v>
      </c>
      <c r="Q21" s="2">
        <v>4.4999999999999998E-2</v>
      </c>
      <c r="R21" s="2">
        <v>0.05</v>
      </c>
      <c r="S21" s="2">
        <v>0.90600000000000003</v>
      </c>
      <c r="T21" s="19" t="s">
        <v>121</v>
      </c>
    </row>
    <row r="22" spans="1:20" x14ac:dyDescent="0.2">
      <c r="A22">
        <v>20</v>
      </c>
      <c r="B22">
        <v>60</v>
      </c>
      <c r="C22" t="s">
        <v>2</v>
      </c>
      <c r="D22" t="s">
        <v>118</v>
      </c>
      <c r="E22">
        <v>1</v>
      </c>
      <c r="F22" s="14">
        <v>75.050343878954479</v>
      </c>
      <c r="G22" s="14">
        <v>-21.32978889757641</v>
      </c>
      <c r="H22" s="14">
        <v>476.70866574965612</v>
      </c>
      <c r="I22" s="14">
        <v>523.76481626270527</v>
      </c>
      <c r="J22" s="14">
        <f t="shared" si="0"/>
        <v>551.75900962861056</v>
      </c>
      <c r="K22" s="14">
        <f t="shared" si="1"/>
        <v>502.43502736512886</v>
      </c>
      <c r="L22" s="14">
        <f t="shared" si="2"/>
        <v>-96.380132776530886</v>
      </c>
      <c r="M22" s="14">
        <f t="shared" si="3"/>
        <v>-49.323982263481696</v>
      </c>
      <c r="N22" s="15">
        <v>13.784999999999993</v>
      </c>
      <c r="O22" s="15">
        <v>23.166600000000006</v>
      </c>
      <c r="P22" s="15">
        <f t="shared" si="4"/>
        <v>-9.381600000000013</v>
      </c>
      <c r="Q22" s="2">
        <v>0.109</v>
      </c>
      <c r="R22" s="2">
        <v>0.112</v>
      </c>
      <c r="S22" s="2">
        <v>0.77900000000000003</v>
      </c>
      <c r="T22" s="19" t="s">
        <v>121</v>
      </c>
    </row>
    <row r="23" spans="1:20" x14ac:dyDescent="0.2">
      <c r="A23">
        <v>20</v>
      </c>
      <c r="B23">
        <v>144</v>
      </c>
      <c r="C23" t="s">
        <v>2</v>
      </c>
      <c r="D23" t="s">
        <v>118</v>
      </c>
      <c r="E23">
        <v>4</v>
      </c>
      <c r="F23" s="14">
        <v>82.106716141001698</v>
      </c>
      <c r="G23" s="14">
        <v>137.19008919722489</v>
      </c>
      <c r="H23" s="14">
        <v>249.69439703153986</v>
      </c>
      <c r="I23" s="14">
        <v>404.56055500495535</v>
      </c>
      <c r="J23" s="14">
        <f t="shared" si="0"/>
        <v>331.80111317254159</v>
      </c>
      <c r="K23" s="14">
        <f t="shared" si="1"/>
        <v>541.75064420218018</v>
      </c>
      <c r="L23" s="14">
        <f t="shared" si="2"/>
        <v>55.083373056223195</v>
      </c>
      <c r="M23" s="14">
        <f t="shared" si="3"/>
        <v>209.94953102963859</v>
      </c>
      <c r="N23" s="15">
        <v>13.0412</v>
      </c>
      <c r="O23" s="15">
        <v>12.203599999999998</v>
      </c>
      <c r="P23" s="15">
        <f t="shared" si="4"/>
        <v>0.8376000000000019</v>
      </c>
      <c r="Q23" s="2">
        <v>6.0999999999999999E-2</v>
      </c>
      <c r="R23" s="2">
        <v>6.5000000000000002E-2</v>
      </c>
      <c r="S23" s="2">
        <v>0.874</v>
      </c>
      <c r="T23" s="19" t="s">
        <v>121</v>
      </c>
    </row>
    <row r="24" spans="1:20" x14ac:dyDescent="0.2">
      <c r="A24">
        <v>20</v>
      </c>
      <c r="B24">
        <v>249</v>
      </c>
      <c r="C24" t="s">
        <v>2</v>
      </c>
      <c r="D24" t="s">
        <v>118</v>
      </c>
      <c r="E24">
        <v>2</v>
      </c>
      <c r="F24" s="14">
        <v>98.615039999999908</v>
      </c>
      <c r="G24" s="14">
        <v>116.9855559801299</v>
      </c>
      <c r="H24" s="14">
        <v>719.4047999999998</v>
      </c>
      <c r="I24" s="14">
        <v>823.53198318685509</v>
      </c>
      <c r="J24" s="14">
        <f t="shared" si="0"/>
        <v>818.0198399999997</v>
      </c>
      <c r="K24" s="14">
        <f t="shared" si="1"/>
        <v>940.51753916698499</v>
      </c>
      <c r="L24" s="14">
        <f t="shared" si="2"/>
        <v>18.370515980129994</v>
      </c>
      <c r="M24" s="14">
        <f t="shared" si="3"/>
        <v>122.49769916698529</v>
      </c>
      <c r="N24" s="15">
        <v>23.957799999999992</v>
      </c>
      <c r="O24" s="15">
        <v>19.494999999999997</v>
      </c>
      <c r="P24" s="15">
        <f t="shared" si="4"/>
        <v>4.4627999999999943</v>
      </c>
      <c r="Q24" s="2">
        <v>0.114</v>
      </c>
      <c r="R24" s="2">
        <v>6.8000000000000005E-2</v>
      </c>
      <c r="S24" s="2">
        <v>0.81799999999999995</v>
      </c>
      <c r="T24" s="19" t="s">
        <v>121</v>
      </c>
    </row>
    <row r="25" spans="1:20" x14ac:dyDescent="0.2">
      <c r="A25">
        <v>20</v>
      </c>
      <c r="B25">
        <v>295</v>
      </c>
      <c r="C25" t="s">
        <v>2</v>
      </c>
      <c r="D25" t="s">
        <v>118</v>
      </c>
      <c r="E25">
        <v>3</v>
      </c>
      <c r="F25" s="14">
        <v>578.90699088145891</v>
      </c>
      <c r="G25" s="14">
        <v>536.93759011328507</v>
      </c>
      <c r="H25" s="14">
        <v>853.77264437689962</v>
      </c>
      <c r="I25" s="14">
        <v>590.00700308959824</v>
      </c>
      <c r="J25" s="14">
        <f t="shared" si="0"/>
        <v>1432.6796352583585</v>
      </c>
      <c r="K25" s="14">
        <f t="shared" si="1"/>
        <v>1126.9445932028834</v>
      </c>
      <c r="L25" s="14">
        <f t="shared" si="2"/>
        <v>-41.969400768173841</v>
      </c>
      <c r="M25" s="14">
        <f t="shared" si="3"/>
        <v>-305.73504205547511</v>
      </c>
      <c r="N25" s="15">
        <v>113.11860000000001</v>
      </c>
      <c r="O25" s="15">
        <v>149.78100000000001</v>
      </c>
      <c r="P25" s="15">
        <f t="shared" si="4"/>
        <v>-36.662399999999991</v>
      </c>
      <c r="Q25" s="2">
        <v>0.29099999999999998</v>
      </c>
      <c r="R25" s="2">
        <v>0.27200000000000002</v>
      </c>
      <c r="S25" s="2">
        <v>0.437</v>
      </c>
      <c r="T25" s="19" t="s">
        <v>121</v>
      </c>
    </row>
    <row r="26" spans="1:20" x14ac:dyDescent="0.2">
      <c r="A26">
        <v>20</v>
      </c>
      <c r="B26">
        <v>4</v>
      </c>
      <c r="C26" t="s">
        <v>16</v>
      </c>
      <c r="D26" t="s">
        <v>115</v>
      </c>
      <c r="E26">
        <v>2</v>
      </c>
      <c r="F26" s="16"/>
      <c r="G26" s="14">
        <v>154.14306569343077</v>
      </c>
      <c r="H26" s="14">
        <v>179.68141342756198</v>
      </c>
      <c r="I26" s="14">
        <v>254.19843065693448</v>
      </c>
      <c r="J26" s="14"/>
      <c r="K26" s="14">
        <f t="shared" ref="K26:K57" si="5">G26+I26</f>
        <v>408.34149635036522</v>
      </c>
      <c r="L26" s="14"/>
      <c r="M26" s="14"/>
      <c r="N26" s="15"/>
      <c r="O26" s="15"/>
      <c r="P26" s="15"/>
      <c r="Q26" s="2">
        <v>0.113</v>
      </c>
      <c r="R26" s="2">
        <v>0.25</v>
      </c>
      <c r="S26" s="2">
        <v>0.63800000000000001</v>
      </c>
      <c r="T26" s="19" t="s">
        <v>121</v>
      </c>
    </row>
    <row r="27" spans="1:20" x14ac:dyDescent="0.2">
      <c r="A27">
        <v>20</v>
      </c>
      <c r="B27">
        <v>14</v>
      </c>
      <c r="C27" t="s">
        <v>16</v>
      </c>
      <c r="D27" t="s">
        <v>115</v>
      </c>
      <c r="E27">
        <v>4</v>
      </c>
      <c r="F27" s="14">
        <v>168.28971193415649</v>
      </c>
      <c r="G27" s="14">
        <v>152.11887550200814</v>
      </c>
      <c r="H27" s="14">
        <v>592.73843621399192</v>
      </c>
      <c r="I27" s="14">
        <v>243.25558232931732</v>
      </c>
      <c r="J27" s="14">
        <f t="shared" ref="J27:J58" si="6">F27+H27</f>
        <v>761.02814814814838</v>
      </c>
      <c r="K27" s="14">
        <f t="shared" si="5"/>
        <v>395.37445783132546</v>
      </c>
      <c r="L27" s="14">
        <f t="shared" ref="L27:L58" si="7">G27-F27</f>
        <v>-16.170836432148349</v>
      </c>
      <c r="M27" s="14">
        <f t="shared" ref="M27:M58" si="8">K27-J27</f>
        <v>-365.65369031682292</v>
      </c>
      <c r="N27" s="15">
        <v>42.730800000000009</v>
      </c>
      <c r="O27" s="15">
        <v>44.390800000000006</v>
      </c>
      <c r="P27" s="15">
        <f t="shared" ref="P27:P34" si="9">N27-O27</f>
        <v>-1.6599999999999966</v>
      </c>
      <c r="Q27" s="2">
        <v>0.13100000000000001</v>
      </c>
      <c r="R27" s="2">
        <v>0.27400000000000002</v>
      </c>
      <c r="S27" s="2">
        <v>0.59499999999999997</v>
      </c>
      <c r="T27" s="19" t="s">
        <v>121</v>
      </c>
    </row>
    <row r="28" spans="1:20" x14ac:dyDescent="0.2">
      <c r="A28">
        <v>20</v>
      </c>
      <c r="B28">
        <v>109</v>
      </c>
      <c r="C28" t="s">
        <v>16</v>
      </c>
      <c r="D28" t="s">
        <v>115</v>
      </c>
      <c r="E28">
        <v>3</v>
      </c>
      <c r="F28" s="14">
        <v>152.24732824427474</v>
      </c>
      <c r="G28" s="14">
        <v>323.85377176015487</v>
      </c>
      <c r="H28" s="14">
        <v>233.74442748091604</v>
      </c>
      <c r="I28" s="14">
        <v>816.49079303675057</v>
      </c>
      <c r="J28" s="14">
        <f t="shared" si="6"/>
        <v>385.99175572519079</v>
      </c>
      <c r="K28" s="14">
        <f t="shared" si="5"/>
        <v>1140.3445647969054</v>
      </c>
      <c r="L28" s="14">
        <f t="shared" si="7"/>
        <v>171.60644351588013</v>
      </c>
      <c r="M28" s="14">
        <f t="shared" si="8"/>
        <v>754.35280907171455</v>
      </c>
      <c r="N28" s="15">
        <v>40.902400000000007</v>
      </c>
      <c r="O28" s="15">
        <v>13.862400000000001</v>
      </c>
      <c r="P28" s="15">
        <f t="shared" si="9"/>
        <v>27.040000000000006</v>
      </c>
      <c r="Q28" s="2">
        <v>0.124</v>
      </c>
      <c r="R28" s="2">
        <v>0.185</v>
      </c>
      <c r="S28" s="2">
        <v>0.69099999999999995</v>
      </c>
      <c r="T28" s="19" t="s">
        <v>121</v>
      </c>
    </row>
    <row r="29" spans="1:20" x14ac:dyDescent="0.2">
      <c r="A29">
        <v>20</v>
      </c>
      <c r="B29">
        <v>244</v>
      </c>
      <c r="C29" t="s">
        <v>16</v>
      </c>
      <c r="D29" t="s">
        <v>115</v>
      </c>
      <c r="E29">
        <v>1</v>
      </c>
      <c r="F29" s="14">
        <v>322.90822596630329</v>
      </c>
      <c r="G29" s="14">
        <v>389.26451612903219</v>
      </c>
      <c r="H29" s="14">
        <v>573.61058473736387</v>
      </c>
      <c r="I29" s="14">
        <v>627.34636983189466</v>
      </c>
      <c r="J29" s="14">
        <f t="shared" si="6"/>
        <v>896.51881070366721</v>
      </c>
      <c r="K29" s="14">
        <f t="shared" si="5"/>
        <v>1016.6108859609269</v>
      </c>
      <c r="L29" s="14">
        <f t="shared" si="7"/>
        <v>66.356290162728897</v>
      </c>
      <c r="M29" s="14">
        <f t="shared" si="8"/>
        <v>120.09207525725969</v>
      </c>
      <c r="N29" s="15">
        <v>73.679565137614674</v>
      </c>
      <c r="O29" s="15">
        <v>80.825965137614702</v>
      </c>
      <c r="P29" s="15">
        <f t="shared" si="9"/>
        <v>-7.1464000000000283</v>
      </c>
      <c r="Q29" s="2">
        <v>0.14699999999999999</v>
      </c>
      <c r="R29" s="2">
        <v>0.16400000000000001</v>
      </c>
      <c r="S29" s="2">
        <v>0.68799999999999994</v>
      </c>
      <c r="T29" s="19" t="s">
        <v>121</v>
      </c>
    </row>
    <row r="30" spans="1:20" x14ac:dyDescent="0.2">
      <c r="A30">
        <v>20</v>
      </c>
      <c r="B30">
        <v>82</v>
      </c>
      <c r="C30" t="s">
        <v>16</v>
      </c>
      <c r="D30" t="s">
        <v>117</v>
      </c>
      <c r="E30">
        <v>2</v>
      </c>
      <c r="F30" s="14">
        <v>311.66712328767136</v>
      </c>
      <c r="G30" s="14">
        <v>389.52812641083528</v>
      </c>
      <c r="H30" s="14">
        <v>545.33136986301383</v>
      </c>
      <c r="I30" s="14">
        <v>525.31817607223491</v>
      </c>
      <c r="J30" s="14">
        <f t="shared" si="6"/>
        <v>856.99849315068514</v>
      </c>
      <c r="K30" s="14">
        <f t="shared" si="5"/>
        <v>914.84630248307019</v>
      </c>
      <c r="L30" s="14">
        <f t="shared" si="7"/>
        <v>77.861003123163925</v>
      </c>
      <c r="M30" s="14">
        <f t="shared" si="8"/>
        <v>57.847809332385054</v>
      </c>
      <c r="N30" s="15">
        <v>77.760999999999996</v>
      </c>
      <c r="O30" s="15">
        <v>83.083399999999997</v>
      </c>
      <c r="P30" s="15">
        <f t="shared" si="9"/>
        <v>-5.3224000000000018</v>
      </c>
      <c r="Q30" s="2">
        <v>7.9000000000000001E-2</v>
      </c>
      <c r="R30" s="2">
        <v>0.17100000000000001</v>
      </c>
      <c r="S30" s="2">
        <v>0.749</v>
      </c>
      <c r="T30" s="19" t="s">
        <v>121</v>
      </c>
    </row>
    <row r="31" spans="1:20" x14ac:dyDescent="0.2">
      <c r="A31">
        <v>20</v>
      </c>
      <c r="B31">
        <v>85</v>
      </c>
      <c r="C31" t="s">
        <v>16</v>
      </c>
      <c r="D31" t="s">
        <v>117</v>
      </c>
      <c r="E31">
        <v>4</v>
      </c>
      <c r="F31" s="14">
        <v>192.98995290423872</v>
      </c>
      <c r="G31" s="14">
        <v>286.62920029347026</v>
      </c>
      <c r="H31" s="14">
        <v>315.76945054945065</v>
      </c>
      <c r="I31" s="14">
        <v>368.1912545854733</v>
      </c>
      <c r="J31" s="14">
        <f t="shared" si="6"/>
        <v>508.7594034536894</v>
      </c>
      <c r="K31" s="14">
        <f t="shared" si="5"/>
        <v>654.82045487894356</v>
      </c>
      <c r="L31" s="14">
        <f t="shared" si="7"/>
        <v>93.639247389231542</v>
      </c>
      <c r="M31" s="14">
        <f t="shared" si="8"/>
        <v>146.06105142525416</v>
      </c>
      <c r="N31" s="15">
        <v>33.938200000000002</v>
      </c>
      <c r="O31" s="15">
        <v>30.835799999999999</v>
      </c>
      <c r="P31" s="15">
        <f t="shared" si="9"/>
        <v>3.1024000000000029</v>
      </c>
      <c r="Q31" s="2">
        <v>5.0999999999999997E-2</v>
      </c>
      <c r="R31" s="2">
        <v>8.5000000000000006E-2</v>
      </c>
      <c r="S31" s="2">
        <v>0.86499999999999999</v>
      </c>
      <c r="T31" s="19" t="s">
        <v>121</v>
      </c>
    </row>
    <row r="32" spans="1:20" x14ac:dyDescent="0.2">
      <c r="A32">
        <v>20</v>
      </c>
      <c r="B32">
        <v>100</v>
      </c>
      <c r="C32" t="s">
        <v>16</v>
      </c>
      <c r="D32" t="s">
        <v>117</v>
      </c>
      <c r="E32">
        <v>3</v>
      </c>
      <c r="F32" s="14">
        <v>394.8434829637643</v>
      </c>
      <c r="G32" s="14">
        <v>360.23861125723295</v>
      </c>
      <c r="H32" s="14">
        <v>619.512687939427</v>
      </c>
      <c r="I32" s="14">
        <v>639.06647027880081</v>
      </c>
      <c r="J32" s="14">
        <f t="shared" si="6"/>
        <v>1014.3561709031912</v>
      </c>
      <c r="K32" s="14">
        <f t="shared" si="5"/>
        <v>999.30508153603375</v>
      </c>
      <c r="L32" s="14">
        <f t="shared" si="7"/>
        <v>-34.604871706531355</v>
      </c>
      <c r="M32" s="14">
        <f t="shared" si="8"/>
        <v>-15.051089367157488</v>
      </c>
      <c r="N32" s="15">
        <v>99.120600000000024</v>
      </c>
      <c r="O32" s="15">
        <v>101.86060000000001</v>
      </c>
      <c r="P32" s="15">
        <f t="shared" si="9"/>
        <v>-2.7399999999999807</v>
      </c>
      <c r="Q32" s="2">
        <v>0.14499999999999999</v>
      </c>
      <c r="R32" s="2">
        <v>0.19600000000000001</v>
      </c>
      <c r="S32" s="2">
        <v>0.65900000000000003</v>
      </c>
      <c r="T32" s="19" t="s">
        <v>121</v>
      </c>
    </row>
    <row r="33" spans="1:20" x14ac:dyDescent="0.2">
      <c r="A33">
        <v>20</v>
      </c>
      <c r="B33">
        <v>158</v>
      </c>
      <c r="C33" t="s">
        <v>16</v>
      </c>
      <c r="D33" t="s">
        <v>117</v>
      </c>
      <c r="E33">
        <v>1</v>
      </c>
      <c r="F33" s="14">
        <v>704.09735449735467</v>
      </c>
      <c r="G33" s="14">
        <v>601.01620421753603</v>
      </c>
      <c r="H33" s="14">
        <v>1205.4785185185187</v>
      </c>
      <c r="I33" s="14">
        <v>1054.2058601553831</v>
      </c>
      <c r="J33" s="14">
        <f t="shared" si="6"/>
        <v>1909.5758730158734</v>
      </c>
      <c r="K33" s="14">
        <f t="shared" si="5"/>
        <v>1655.2220643729192</v>
      </c>
      <c r="L33" s="14">
        <f t="shared" si="7"/>
        <v>-103.08115027981864</v>
      </c>
      <c r="M33" s="14">
        <f t="shared" si="8"/>
        <v>-254.35380864295416</v>
      </c>
      <c r="N33" s="15">
        <v>176.345</v>
      </c>
      <c r="O33" s="15">
        <v>241.77940000000001</v>
      </c>
      <c r="P33" s="15">
        <f t="shared" si="9"/>
        <v>-65.434400000000011</v>
      </c>
      <c r="Q33" s="2">
        <v>0.23400000000000001</v>
      </c>
      <c r="R33" s="2">
        <v>0.27400000000000002</v>
      </c>
      <c r="S33" s="2">
        <v>0.49299999999999999</v>
      </c>
      <c r="T33" s="19" t="s">
        <v>121</v>
      </c>
    </row>
    <row r="34" spans="1:20" x14ac:dyDescent="0.2">
      <c r="A34">
        <v>20</v>
      </c>
      <c r="B34">
        <v>200</v>
      </c>
      <c r="C34" t="s">
        <v>16</v>
      </c>
      <c r="D34" t="s">
        <v>116</v>
      </c>
      <c r="E34">
        <v>3</v>
      </c>
      <c r="F34" s="14">
        <v>209.76301303718006</v>
      </c>
      <c r="G34" s="14">
        <v>257.90573012938995</v>
      </c>
      <c r="H34" s="14">
        <v>366.64826653790459</v>
      </c>
      <c r="I34" s="14">
        <v>371.80247689463965</v>
      </c>
      <c r="J34" s="14">
        <f t="shared" si="6"/>
        <v>576.41127957508468</v>
      </c>
      <c r="K34" s="14">
        <f t="shared" si="5"/>
        <v>629.70820702402966</v>
      </c>
      <c r="L34" s="14">
        <f t="shared" si="7"/>
        <v>48.142717092209892</v>
      </c>
      <c r="M34" s="14">
        <f t="shared" si="8"/>
        <v>53.296927448944984</v>
      </c>
      <c r="N34" s="15">
        <v>56.577211180124216</v>
      </c>
      <c r="O34" s="15">
        <v>58.334811180124213</v>
      </c>
      <c r="P34" s="15">
        <f t="shared" si="9"/>
        <v>-1.7575999999999965</v>
      </c>
      <c r="Q34" s="2">
        <v>0.11700000000000001</v>
      </c>
      <c r="R34" s="2">
        <v>0.19600000000000001</v>
      </c>
      <c r="S34" s="2">
        <v>0.68700000000000006</v>
      </c>
      <c r="T34" s="19" t="s">
        <v>121</v>
      </c>
    </row>
    <row r="35" spans="1:20" x14ac:dyDescent="0.2">
      <c r="A35">
        <v>20</v>
      </c>
      <c r="B35">
        <v>252</v>
      </c>
      <c r="C35" t="s">
        <v>16</v>
      </c>
      <c r="D35" t="s">
        <v>116</v>
      </c>
      <c r="E35">
        <v>1</v>
      </c>
      <c r="F35" s="14">
        <v>308.7270300333704</v>
      </c>
      <c r="G35" s="14">
        <v>364.27948417350535</v>
      </c>
      <c r="H35" s="14">
        <v>553.02407119021132</v>
      </c>
      <c r="I35" s="14">
        <v>635.89758499413836</v>
      </c>
      <c r="J35" s="14">
        <f t="shared" si="6"/>
        <v>861.75110122358171</v>
      </c>
      <c r="K35" s="14">
        <f t="shared" si="5"/>
        <v>1000.1770691676437</v>
      </c>
      <c r="L35" s="14">
        <f t="shared" si="7"/>
        <v>55.552454140134955</v>
      </c>
      <c r="M35" s="14">
        <f t="shared" si="8"/>
        <v>138.42596794406199</v>
      </c>
      <c r="N35" s="15"/>
      <c r="O35" s="15"/>
      <c r="P35" s="15"/>
      <c r="Q35" s="2">
        <v>0.219</v>
      </c>
      <c r="R35" s="2">
        <v>0.38100000000000001</v>
      </c>
      <c r="S35" s="2">
        <v>0.4</v>
      </c>
      <c r="T35" s="19" t="s">
        <v>121</v>
      </c>
    </row>
    <row r="36" spans="1:20" x14ac:dyDescent="0.2">
      <c r="A36">
        <v>20</v>
      </c>
      <c r="B36">
        <v>253</v>
      </c>
      <c r="C36" t="s">
        <v>16</v>
      </c>
      <c r="D36" t="s">
        <v>116</v>
      </c>
      <c r="E36">
        <v>2</v>
      </c>
      <c r="F36" s="14">
        <v>147.79035769828926</v>
      </c>
      <c r="G36" s="14">
        <v>191.23589743589736</v>
      </c>
      <c r="H36" s="14">
        <v>283.38214618973558</v>
      </c>
      <c r="I36" s="14">
        <v>299.31641025641028</v>
      </c>
      <c r="J36" s="14">
        <f t="shared" si="6"/>
        <v>431.17250388802483</v>
      </c>
      <c r="K36" s="14">
        <f t="shared" si="5"/>
        <v>490.55230769230764</v>
      </c>
      <c r="L36" s="14">
        <f t="shared" si="7"/>
        <v>43.445539737608101</v>
      </c>
      <c r="M36" s="14">
        <f t="shared" si="8"/>
        <v>59.379803804282801</v>
      </c>
      <c r="N36" s="15"/>
      <c r="O36" s="15"/>
      <c r="P36" s="15"/>
      <c r="Q36" s="2">
        <v>5.3999999999999999E-2</v>
      </c>
      <c r="R36" s="2">
        <v>0.13</v>
      </c>
      <c r="S36" s="2">
        <v>0.81599999999999995</v>
      </c>
      <c r="T36" s="19" t="s">
        <v>121</v>
      </c>
    </row>
    <row r="37" spans="1:20" x14ac:dyDescent="0.2">
      <c r="A37">
        <v>20</v>
      </c>
      <c r="B37">
        <v>262</v>
      </c>
      <c r="C37" t="s">
        <v>16</v>
      </c>
      <c r="D37" t="s">
        <v>116</v>
      </c>
      <c r="E37">
        <v>4</v>
      </c>
      <c r="F37" s="14">
        <v>264.81635910224435</v>
      </c>
      <c r="G37" s="14">
        <v>229.05582849486368</v>
      </c>
      <c r="H37" s="14">
        <v>476.36851870324176</v>
      </c>
      <c r="I37" s="14">
        <v>464.30963823135323</v>
      </c>
      <c r="J37" s="14">
        <f t="shared" si="6"/>
        <v>741.18487780548617</v>
      </c>
      <c r="K37" s="14">
        <f t="shared" si="5"/>
        <v>693.36546672621694</v>
      </c>
      <c r="L37" s="14">
        <f t="shared" si="7"/>
        <v>-35.760530607380673</v>
      </c>
      <c r="M37" s="14">
        <f t="shared" si="8"/>
        <v>-47.81941107926923</v>
      </c>
      <c r="N37" s="15">
        <v>44.378399999999999</v>
      </c>
      <c r="O37" s="15">
        <v>56.425599999999989</v>
      </c>
      <c r="P37" s="15">
        <f>N37-O37</f>
        <v>-12.047199999999989</v>
      </c>
      <c r="Q37" s="2">
        <v>0.14499999999999999</v>
      </c>
      <c r="R37" s="2">
        <v>0.34100000000000003</v>
      </c>
      <c r="S37" s="2">
        <v>0.51300000000000001</v>
      </c>
      <c r="T37" s="19" t="s">
        <v>121</v>
      </c>
    </row>
    <row r="38" spans="1:20" x14ac:dyDescent="0.2">
      <c r="A38">
        <v>20</v>
      </c>
      <c r="B38">
        <v>87</v>
      </c>
      <c r="C38" t="s">
        <v>16</v>
      </c>
      <c r="D38" t="s">
        <v>118</v>
      </c>
      <c r="E38">
        <v>3</v>
      </c>
      <c r="F38" s="14">
        <v>144.52832019405722</v>
      </c>
      <c r="G38" s="14">
        <v>230.70683012259207</v>
      </c>
      <c r="H38" s="14">
        <v>696.48014554275335</v>
      </c>
      <c r="I38" s="14">
        <v>786.6926795096324</v>
      </c>
      <c r="J38" s="14">
        <f t="shared" si="6"/>
        <v>841.00846573681054</v>
      </c>
      <c r="K38" s="14">
        <f t="shared" si="5"/>
        <v>1017.3995096322244</v>
      </c>
      <c r="L38" s="14">
        <f t="shared" si="7"/>
        <v>86.178509928534851</v>
      </c>
      <c r="M38" s="14">
        <f t="shared" si="8"/>
        <v>176.39104389541387</v>
      </c>
      <c r="N38" s="15">
        <v>95.550600000000003</v>
      </c>
      <c r="O38" s="15">
        <v>80.516200000000012</v>
      </c>
      <c r="P38" s="15">
        <f>N38-O38</f>
        <v>15.034399999999991</v>
      </c>
      <c r="Q38" s="2">
        <v>0.17100000000000001</v>
      </c>
      <c r="R38" s="2">
        <v>0.25700000000000001</v>
      </c>
      <c r="S38" s="2">
        <v>0.57199999999999995</v>
      </c>
      <c r="T38" s="19" t="s">
        <v>121</v>
      </c>
    </row>
    <row r="39" spans="1:20" x14ac:dyDescent="0.2">
      <c r="A39">
        <v>20</v>
      </c>
      <c r="B39">
        <v>123</v>
      </c>
      <c r="C39" t="s">
        <v>16</v>
      </c>
      <c r="D39" t="s">
        <v>118</v>
      </c>
      <c r="E39">
        <v>2</v>
      </c>
      <c r="F39" s="14">
        <v>311.05423728813582</v>
      </c>
      <c r="G39" s="14">
        <v>58.326960257787235</v>
      </c>
      <c r="H39" s="14">
        <v>755.69135593220346</v>
      </c>
      <c r="I39" s="14">
        <v>354.33628356605817</v>
      </c>
      <c r="J39" s="14">
        <f t="shared" si="6"/>
        <v>1066.7455932203393</v>
      </c>
      <c r="K39" s="14">
        <f t="shared" si="5"/>
        <v>412.66324382384539</v>
      </c>
      <c r="L39" s="14">
        <f t="shared" si="7"/>
        <v>-252.7272770303486</v>
      </c>
      <c r="M39" s="14">
        <f t="shared" si="8"/>
        <v>-654.0823493964939</v>
      </c>
      <c r="N39" s="15"/>
      <c r="O39" s="15"/>
      <c r="P39" s="15"/>
      <c r="Q39" s="2">
        <v>8.5999999999999993E-2</v>
      </c>
      <c r="R39" s="2">
        <v>0.14399999999999999</v>
      </c>
      <c r="S39" s="2">
        <v>0.76900000000000002</v>
      </c>
      <c r="T39" s="19" t="s">
        <v>121</v>
      </c>
    </row>
    <row r="40" spans="1:20" x14ac:dyDescent="0.2">
      <c r="A40">
        <v>20</v>
      </c>
      <c r="B40">
        <v>193</v>
      </c>
      <c r="C40" t="s">
        <v>16</v>
      </c>
      <c r="D40" t="s">
        <v>118</v>
      </c>
      <c r="E40">
        <v>4</v>
      </c>
      <c r="F40" s="14">
        <v>352.07830588235299</v>
      </c>
      <c r="G40" s="14">
        <v>570.25795511221941</v>
      </c>
      <c r="H40" s="14">
        <v>524.85221647058836</v>
      </c>
      <c r="I40" s="14">
        <v>581.84367082294273</v>
      </c>
      <c r="J40" s="14">
        <f t="shared" si="6"/>
        <v>876.93052235294135</v>
      </c>
      <c r="K40" s="14">
        <f t="shared" si="5"/>
        <v>1152.1016259351622</v>
      </c>
      <c r="L40" s="14">
        <f t="shared" si="7"/>
        <v>218.17964922986641</v>
      </c>
      <c r="M40" s="14">
        <f t="shared" si="8"/>
        <v>275.17110358222089</v>
      </c>
      <c r="N40" s="15">
        <v>111.14720000000003</v>
      </c>
      <c r="O40" s="15">
        <v>55.453600000000009</v>
      </c>
      <c r="P40" s="15">
        <f>N40-O40</f>
        <v>55.693600000000018</v>
      </c>
      <c r="Q40" s="2">
        <v>0.111</v>
      </c>
      <c r="R40" s="2">
        <v>0.2</v>
      </c>
      <c r="S40" s="2">
        <v>0.68899999999999995</v>
      </c>
      <c r="T40" s="19" t="s">
        <v>121</v>
      </c>
    </row>
    <row r="41" spans="1:20" x14ac:dyDescent="0.2">
      <c r="A41">
        <v>20</v>
      </c>
      <c r="B41">
        <v>287</v>
      </c>
      <c r="C41" t="s">
        <v>16</v>
      </c>
      <c r="D41" t="s">
        <v>118</v>
      </c>
      <c r="E41">
        <v>1</v>
      </c>
      <c r="F41" s="14">
        <v>432.61510297482857</v>
      </c>
      <c r="G41" s="14">
        <v>313.40996354799495</v>
      </c>
      <c r="H41" s="14">
        <v>1122.0378947368422</v>
      </c>
      <c r="I41" s="14">
        <v>1144.7711300121505</v>
      </c>
      <c r="J41" s="14">
        <f t="shared" si="6"/>
        <v>1554.6529977116707</v>
      </c>
      <c r="K41" s="14">
        <f t="shared" si="5"/>
        <v>1458.1810935601454</v>
      </c>
      <c r="L41" s="14">
        <f t="shared" si="7"/>
        <v>-119.20513942683363</v>
      </c>
      <c r="M41" s="14">
        <f t="shared" si="8"/>
        <v>-96.471904151525223</v>
      </c>
      <c r="N41" s="15">
        <v>86.435000000000016</v>
      </c>
      <c r="O41" s="15">
        <v>82.227000000000018</v>
      </c>
      <c r="P41" s="15">
        <f>N41-O41</f>
        <v>4.2079999999999984</v>
      </c>
      <c r="Q41" s="2">
        <v>0.154</v>
      </c>
      <c r="R41" s="2">
        <v>0.28699999999999998</v>
      </c>
      <c r="S41" s="2">
        <v>0.55800000000000005</v>
      </c>
      <c r="T41" s="19" t="s">
        <v>121</v>
      </c>
    </row>
    <row r="42" spans="1:20" x14ac:dyDescent="0.2">
      <c r="A42">
        <v>20</v>
      </c>
      <c r="B42">
        <v>1</v>
      </c>
      <c r="C42" t="s">
        <v>18</v>
      </c>
      <c r="D42" t="s">
        <v>115</v>
      </c>
      <c r="E42">
        <v>1</v>
      </c>
      <c r="F42" s="14">
        <v>40.724519083969419</v>
      </c>
      <c r="G42" s="14">
        <v>76.895458816160385</v>
      </c>
      <c r="H42" s="14">
        <v>198.99480916030529</v>
      </c>
      <c r="I42" s="14">
        <v>260.1155026620732</v>
      </c>
      <c r="J42" s="14">
        <f t="shared" si="6"/>
        <v>239.71932824427472</v>
      </c>
      <c r="K42" s="14">
        <f t="shared" si="5"/>
        <v>337.01096147823358</v>
      </c>
      <c r="L42" s="14">
        <f t="shared" si="7"/>
        <v>36.170939732190966</v>
      </c>
      <c r="M42" s="14">
        <f t="shared" si="8"/>
        <v>97.291633233958862</v>
      </c>
      <c r="N42" s="15">
        <v>1.9736206896551725</v>
      </c>
      <c r="O42" s="15">
        <v>3.2504206896551722</v>
      </c>
      <c r="P42" s="15">
        <f>N42-O42</f>
        <v>-1.2767999999999997</v>
      </c>
      <c r="Q42" s="2">
        <v>3.5999999999999997E-2</v>
      </c>
      <c r="R42" s="2" t="s">
        <v>14</v>
      </c>
      <c r="S42" s="2">
        <v>0.91800000000000004</v>
      </c>
      <c r="T42" s="19" t="s">
        <v>121</v>
      </c>
    </row>
    <row r="43" spans="1:20" x14ac:dyDescent="0.2">
      <c r="A43">
        <v>20</v>
      </c>
      <c r="B43">
        <v>17</v>
      </c>
      <c r="C43" t="s">
        <v>18</v>
      </c>
      <c r="D43" t="s">
        <v>115</v>
      </c>
      <c r="E43">
        <v>2</v>
      </c>
      <c r="F43" s="14">
        <v>41.875290423861806</v>
      </c>
      <c r="G43" s="14">
        <v>35.402272727272653</v>
      </c>
      <c r="H43" s="14">
        <v>185.58367346938766</v>
      </c>
      <c r="I43" s="14">
        <v>88.027272727272717</v>
      </c>
      <c r="J43" s="14">
        <f t="shared" si="6"/>
        <v>227.45896389324946</v>
      </c>
      <c r="K43" s="14">
        <f t="shared" si="5"/>
        <v>123.42954545454538</v>
      </c>
      <c r="L43" s="14">
        <f t="shared" si="7"/>
        <v>-6.473017696589153</v>
      </c>
      <c r="M43" s="14">
        <f t="shared" si="8"/>
        <v>-104.02941843870408</v>
      </c>
      <c r="N43" s="15">
        <v>0.41239999999999988</v>
      </c>
      <c r="O43" s="15">
        <v>4.2235999999999994</v>
      </c>
      <c r="P43" s="15">
        <f>N43-O43</f>
        <v>-3.8111999999999995</v>
      </c>
      <c r="Q43" s="2">
        <v>5.0999999999999997E-2</v>
      </c>
      <c r="R43" s="2">
        <v>0.1</v>
      </c>
      <c r="S43" s="2">
        <v>0.84799999999999998</v>
      </c>
      <c r="T43" s="19" t="s">
        <v>121</v>
      </c>
    </row>
    <row r="44" spans="1:20" x14ac:dyDescent="0.2">
      <c r="A44">
        <v>10</v>
      </c>
      <c r="B44">
        <v>105</v>
      </c>
      <c r="C44" t="s">
        <v>18</v>
      </c>
      <c r="D44" t="s">
        <v>115</v>
      </c>
      <c r="E44">
        <v>4</v>
      </c>
      <c r="F44" s="14">
        <v>84.367395626242526</v>
      </c>
      <c r="G44" s="14">
        <v>98.242808912896422</v>
      </c>
      <c r="H44" s="14">
        <v>185.80914512922479</v>
      </c>
      <c r="I44" s="14">
        <v>220.02295746117508</v>
      </c>
      <c r="J44" s="14">
        <f t="shared" si="6"/>
        <v>270.17654075546733</v>
      </c>
      <c r="K44" s="14">
        <f t="shared" si="5"/>
        <v>318.26576637407152</v>
      </c>
      <c r="L44" s="14">
        <f t="shared" si="7"/>
        <v>13.875413286653895</v>
      </c>
      <c r="M44" s="14">
        <f t="shared" si="8"/>
        <v>48.089225618604189</v>
      </c>
      <c r="N44" s="15">
        <v>29.319276476476482</v>
      </c>
      <c r="O44" s="15">
        <v>14.119646307385235</v>
      </c>
      <c r="P44" s="15">
        <f>N44-O44</f>
        <v>15.199630169091247</v>
      </c>
      <c r="Q44" s="2">
        <v>9.7000000000000003E-2</v>
      </c>
      <c r="R44" s="2">
        <v>0.185</v>
      </c>
      <c r="S44" s="2">
        <v>0.71799999999999997</v>
      </c>
      <c r="T44" s="19" t="s">
        <v>121</v>
      </c>
    </row>
    <row r="45" spans="1:20" x14ac:dyDescent="0.2">
      <c r="A45">
        <v>20</v>
      </c>
      <c r="B45">
        <v>250</v>
      </c>
      <c r="C45" t="s">
        <v>18</v>
      </c>
      <c r="D45" t="s">
        <v>115</v>
      </c>
      <c r="E45">
        <v>3</v>
      </c>
      <c r="F45" s="14">
        <v>56.902860735617701</v>
      </c>
      <c r="G45" s="14">
        <v>93.988449848024345</v>
      </c>
      <c r="H45" s="14">
        <v>82.224633762967713</v>
      </c>
      <c r="I45" s="14">
        <v>155.19556231003071</v>
      </c>
      <c r="J45" s="14">
        <f t="shared" si="6"/>
        <v>139.12749449858541</v>
      </c>
      <c r="K45" s="14">
        <f t="shared" si="5"/>
        <v>249.18401215805505</v>
      </c>
      <c r="L45" s="14">
        <f t="shared" si="7"/>
        <v>37.085589112406645</v>
      </c>
      <c r="M45" s="14">
        <f t="shared" si="8"/>
        <v>110.05651765946965</v>
      </c>
      <c r="N45" s="15"/>
      <c r="O45" s="15"/>
      <c r="P45" s="15"/>
      <c r="Q45" s="2">
        <v>4.2000000000000003E-2</v>
      </c>
      <c r="R45" s="2">
        <v>0.114</v>
      </c>
      <c r="S45" s="2">
        <v>0.84399999999999997</v>
      </c>
      <c r="T45" s="19" t="s">
        <v>121</v>
      </c>
    </row>
    <row r="46" spans="1:20" x14ac:dyDescent="0.2">
      <c r="A46">
        <v>20</v>
      </c>
      <c r="B46">
        <v>46</v>
      </c>
      <c r="C46" t="s">
        <v>18</v>
      </c>
      <c r="D46" t="s">
        <v>117</v>
      </c>
      <c r="E46">
        <v>3</v>
      </c>
      <c r="F46" s="14">
        <v>268.85183823529405</v>
      </c>
      <c r="G46" s="14">
        <v>315.13063946645735</v>
      </c>
      <c r="H46" s="14">
        <v>643.57279411764682</v>
      </c>
      <c r="I46" s="14">
        <v>744.42181247548058</v>
      </c>
      <c r="J46" s="14">
        <f t="shared" si="6"/>
        <v>912.42463235294088</v>
      </c>
      <c r="K46" s="14">
        <f t="shared" si="5"/>
        <v>1059.552451941938</v>
      </c>
      <c r="L46" s="14">
        <f t="shared" si="7"/>
        <v>46.2788012311633</v>
      </c>
      <c r="M46" s="14">
        <f t="shared" si="8"/>
        <v>147.12781958899711</v>
      </c>
      <c r="N46" s="15">
        <v>75.147200000000012</v>
      </c>
      <c r="O46" s="15">
        <v>45.192000000000007</v>
      </c>
      <c r="P46" s="15">
        <f t="shared" ref="P46:P68" si="10">N46-O46</f>
        <v>29.955200000000005</v>
      </c>
      <c r="Q46" s="2">
        <v>0.14799999999999999</v>
      </c>
      <c r="R46" s="2">
        <v>0.104</v>
      </c>
      <c r="S46" s="2">
        <v>0.748</v>
      </c>
      <c r="T46" s="19" t="s">
        <v>121</v>
      </c>
    </row>
    <row r="47" spans="1:20" x14ac:dyDescent="0.2">
      <c r="A47">
        <v>20</v>
      </c>
      <c r="B47">
        <v>49</v>
      </c>
      <c r="C47" t="s">
        <v>18</v>
      </c>
      <c r="D47" t="s">
        <v>117</v>
      </c>
      <c r="E47">
        <v>4</v>
      </c>
      <c r="F47" s="14">
        <v>330.76106557377045</v>
      </c>
      <c r="G47" s="14">
        <v>369.56431605777402</v>
      </c>
      <c r="H47" s="14">
        <v>656.86352459016393</v>
      </c>
      <c r="I47" s="14">
        <v>677.31996601529306</v>
      </c>
      <c r="J47" s="14">
        <f t="shared" si="6"/>
        <v>987.62459016393439</v>
      </c>
      <c r="K47" s="14">
        <f t="shared" si="5"/>
        <v>1046.884282073067</v>
      </c>
      <c r="L47" s="14">
        <f t="shared" si="7"/>
        <v>38.80325048400357</v>
      </c>
      <c r="M47" s="14">
        <f t="shared" si="8"/>
        <v>59.259691909132584</v>
      </c>
      <c r="N47" s="15">
        <v>70.290400000000005</v>
      </c>
      <c r="O47" s="15">
        <v>73.275999999999996</v>
      </c>
      <c r="P47" s="15">
        <f t="shared" si="10"/>
        <v>-2.9855999999999909</v>
      </c>
      <c r="Q47" s="2">
        <v>8.8999999999999996E-2</v>
      </c>
      <c r="R47" s="2">
        <v>0.28999999999999998</v>
      </c>
      <c r="S47" s="2">
        <v>0.621</v>
      </c>
      <c r="T47" s="19" t="s">
        <v>121</v>
      </c>
    </row>
    <row r="48" spans="1:20" x14ac:dyDescent="0.2">
      <c r="A48">
        <v>20</v>
      </c>
      <c r="B48">
        <v>201</v>
      </c>
      <c r="C48" t="s">
        <v>18</v>
      </c>
      <c r="D48" t="s">
        <v>117</v>
      </c>
      <c r="E48">
        <v>1</v>
      </c>
      <c r="F48" s="14">
        <v>373.82719382835108</v>
      </c>
      <c r="G48" s="14">
        <v>158.18426966292139</v>
      </c>
      <c r="H48" s="14">
        <v>754.49091610414678</v>
      </c>
      <c r="I48" s="14">
        <v>502.46103370786528</v>
      </c>
      <c r="J48" s="14">
        <f t="shared" si="6"/>
        <v>1128.3181099324979</v>
      </c>
      <c r="K48" s="14">
        <f t="shared" si="5"/>
        <v>660.64530337078668</v>
      </c>
      <c r="L48" s="14">
        <f t="shared" si="7"/>
        <v>-215.64292416542969</v>
      </c>
      <c r="M48" s="14">
        <f t="shared" si="8"/>
        <v>-467.67280656171124</v>
      </c>
      <c r="N48" s="15">
        <v>47.016000000000005</v>
      </c>
      <c r="O48" s="15">
        <v>74.358400000000003</v>
      </c>
      <c r="P48" s="15">
        <f t="shared" si="10"/>
        <v>-27.342399999999998</v>
      </c>
      <c r="Q48" s="2">
        <v>6.4000000000000001E-2</v>
      </c>
      <c r="R48" s="2">
        <v>0.17799999999999999</v>
      </c>
      <c r="S48" s="2">
        <v>0.75800000000000001</v>
      </c>
      <c r="T48" s="19" t="s">
        <v>121</v>
      </c>
    </row>
    <row r="49" spans="1:20" x14ac:dyDescent="0.2">
      <c r="A49">
        <v>20</v>
      </c>
      <c r="B49">
        <v>280</v>
      </c>
      <c r="C49" t="s">
        <v>18</v>
      </c>
      <c r="D49" t="s">
        <v>117</v>
      </c>
      <c r="E49">
        <v>2</v>
      </c>
      <c r="F49" s="14">
        <v>411.97946731234879</v>
      </c>
      <c r="G49" s="14">
        <v>598.72894736842113</v>
      </c>
      <c r="H49" s="14">
        <v>784.07581598062973</v>
      </c>
      <c r="I49" s="14">
        <v>978.64065789473705</v>
      </c>
      <c r="J49" s="14">
        <f t="shared" si="6"/>
        <v>1196.0552832929784</v>
      </c>
      <c r="K49" s="14">
        <f t="shared" si="5"/>
        <v>1577.3696052631581</v>
      </c>
      <c r="L49" s="14">
        <f t="shared" si="7"/>
        <v>186.74948005607234</v>
      </c>
      <c r="M49" s="14">
        <f t="shared" si="8"/>
        <v>381.31432197017966</v>
      </c>
      <c r="N49" s="15">
        <v>179.28359999999998</v>
      </c>
      <c r="O49" s="15">
        <v>115.30760000000001</v>
      </c>
      <c r="P49" s="15">
        <f t="shared" si="10"/>
        <v>63.975999999999971</v>
      </c>
      <c r="Q49" s="2">
        <v>0.184</v>
      </c>
      <c r="R49" s="2">
        <v>0.309</v>
      </c>
      <c r="S49" s="2">
        <v>0.50700000000000001</v>
      </c>
      <c r="T49" s="19" t="s">
        <v>121</v>
      </c>
    </row>
    <row r="50" spans="1:20" x14ac:dyDescent="0.2">
      <c r="A50">
        <v>20</v>
      </c>
      <c r="B50">
        <v>18</v>
      </c>
      <c r="C50" t="s">
        <v>18</v>
      </c>
      <c r="D50" t="s">
        <v>118</v>
      </c>
      <c r="E50">
        <v>4</v>
      </c>
      <c r="F50" s="14">
        <v>85.928445747800581</v>
      </c>
      <c r="G50" s="14">
        <v>111.14010034735615</v>
      </c>
      <c r="H50" s="14">
        <v>558.53489736070367</v>
      </c>
      <c r="I50" s="14">
        <v>657.48143573909681</v>
      </c>
      <c r="J50" s="14">
        <f t="shared" si="6"/>
        <v>644.4633431085042</v>
      </c>
      <c r="K50" s="14">
        <f t="shared" si="5"/>
        <v>768.62153608645292</v>
      </c>
      <c r="L50" s="14">
        <f t="shared" si="7"/>
        <v>25.211654599555573</v>
      </c>
      <c r="M50" s="14">
        <f t="shared" si="8"/>
        <v>124.15819297794872</v>
      </c>
      <c r="N50" s="15">
        <v>47.416399999999996</v>
      </c>
      <c r="O50" s="15">
        <v>40.608400000000003</v>
      </c>
      <c r="P50" s="15">
        <f t="shared" si="10"/>
        <v>6.8079999999999927</v>
      </c>
      <c r="Q50" s="2">
        <v>0.108</v>
      </c>
      <c r="R50" s="2">
        <v>8.5000000000000006E-2</v>
      </c>
      <c r="S50" s="2">
        <v>0.80700000000000005</v>
      </c>
      <c r="T50" s="19" t="s">
        <v>121</v>
      </c>
    </row>
    <row r="51" spans="1:20" x14ac:dyDescent="0.2">
      <c r="A51">
        <v>20</v>
      </c>
      <c r="B51">
        <v>48</v>
      </c>
      <c r="C51" t="s">
        <v>18</v>
      </c>
      <c r="D51" t="s">
        <v>118</v>
      </c>
      <c r="E51">
        <v>2</v>
      </c>
      <c r="F51" s="14">
        <v>205.88233134465352</v>
      </c>
      <c r="G51" s="14">
        <v>140.12573964497039</v>
      </c>
      <c r="H51" s="14">
        <v>574.52299219825602</v>
      </c>
      <c r="I51" s="14">
        <v>558.26094674556214</v>
      </c>
      <c r="J51" s="14">
        <f t="shared" si="6"/>
        <v>780.40532354290951</v>
      </c>
      <c r="K51" s="14">
        <f t="shared" si="5"/>
        <v>698.38668639053253</v>
      </c>
      <c r="L51" s="14">
        <f t="shared" si="7"/>
        <v>-65.756591699683128</v>
      </c>
      <c r="M51" s="14">
        <f t="shared" si="8"/>
        <v>-82.018637152376982</v>
      </c>
      <c r="N51" s="15">
        <v>67.622800000000012</v>
      </c>
      <c r="O51" s="15">
        <v>46.271600000000007</v>
      </c>
      <c r="P51" s="15">
        <f t="shared" si="10"/>
        <v>21.351200000000006</v>
      </c>
      <c r="Q51" s="2">
        <v>0.11899999999999999</v>
      </c>
      <c r="R51" s="2">
        <v>0.214</v>
      </c>
      <c r="S51" s="2">
        <v>0.66600000000000004</v>
      </c>
      <c r="T51" s="19" t="s">
        <v>121</v>
      </c>
    </row>
    <row r="52" spans="1:20" x14ac:dyDescent="0.2">
      <c r="A52">
        <v>20</v>
      </c>
      <c r="B52">
        <v>169</v>
      </c>
      <c r="C52" t="s">
        <v>18</v>
      </c>
      <c r="D52" t="s">
        <v>118</v>
      </c>
      <c r="E52">
        <v>1</v>
      </c>
      <c r="F52" s="14">
        <v>57.120603015075282</v>
      </c>
      <c r="G52" s="14">
        <v>54.371300448430539</v>
      </c>
      <c r="H52" s="14">
        <v>396.0361809045225</v>
      </c>
      <c r="I52" s="14">
        <v>517.66008968609856</v>
      </c>
      <c r="J52" s="14">
        <f t="shared" si="6"/>
        <v>453.15678391959779</v>
      </c>
      <c r="K52" s="14">
        <f t="shared" si="5"/>
        <v>572.03139013452915</v>
      </c>
      <c r="L52" s="14">
        <f t="shared" si="7"/>
        <v>-2.7493025666447437</v>
      </c>
      <c r="M52" s="14">
        <f t="shared" si="8"/>
        <v>118.87460621493136</v>
      </c>
      <c r="N52" s="15">
        <v>97.056000000000012</v>
      </c>
      <c r="O52" s="15">
        <v>56.391200000000012</v>
      </c>
      <c r="P52" s="15">
        <f t="shared" si="10"/>
        <v>40.6648</v>
      </c>
      <c r="Q52" s="2">
        <v>6.9000000000000006E-2</v>
      </c>
      <c r="R52" s="2">
        <v>0.13200000000000001</v>
      </c>
      <c r="S52" s="2">
        <v>0.79900000000000004</v>
      </c>
      <c r="T52" s="19" t="s">
        <v>121</v>
      </c>
    </row>
    <row r="53" spans="1:20" x14ac:dyDescent="0.2">
      <c r="A53">
        <v>20</v>
      </c>
      <c r="B53">
        <v>272</v>
      </c>
      <c r="C53" t="s">
        <v>18</v>
      </c>
      <c r="D53" t="s">
        <v>118</v>
      </c>
      <c r="E53">
        <v>3</v>
      </c>
      <c r="F53" s="14">
        <v>125.01843532145628</v>
      </c>
      <c r="G53" s="14">
        <v>232.84789156626516</v>
      </c>
      <c r="H53" s="14">
        <v>253.19154144074369</v>
      </c>
      <c r="I53" s="14">
        <v>430.14388554216879</v>
      </c>
      <c r="J53" s="14">
        <f t="shared" si="6"/>
        <v>378.20997676219997</v>
      </c>
      <c r="K53" s="14">
        <f t="shared" si="5"/>
        <v>662.99177710843401</v>
      </c>
      <c r="L53" s="14">
        <f t="shared" si="7"/>
        <v>107.82945624480888</v>
      </c>
      <c r="M53" s="14">
        <f t="shared" si="8"/>
        <v>284.78180034623404</v>
      </c>
      <c r="N53" s="15">
        <v>49.699200000000005</v>
      </c>
      <c r="O53" s="15">
        <v>20.911200000000001</v>
      </c>
      <c r="P53" s="15">
        <f t="shared" si="10"/>
        <v>28.788000000000004</v>
      </c>
      <c r="Q53" s="2">
        <v>6.9000000000000006E-2</v>
      </c>
      <c r="R53" s="2">
        <v>0.125</v>
      </c>
      <c r="S53" s="2">
        <v>0.80600000000000005</v>
      </c>
      <c r="T53" s="19" t="s">
        <v>121</v>
      </c>
    </row>
    <row r="54" spans="1:20" x14ac:dyDescent="0.2">
      <c r="A54">
        <v>10</v>
      </c>
      <c r="B54">
        <v>93</v>
      </c>
      <c r="C54" t="s">
        <v>24</v>
      </c>
      <c r="D54" t="s">
        <v>115</v>
      </c>
      <c r="E54">
        <v>4</v>
      </c>
      <c r="F54" s="14">
        <v>85.89530201342258</v>
      </c>
      <c r="G54" s="14">
        <v>136.84293015332133</v>
      </c>
      <c r="H54" s="14">
        <v>236.21208053691271</v>
      </c>
      <c r="I54" s="14">
        <v>277.55877342419058</v>
      </c>
      <c r="J54" s="14">
        <f t="shared" si="6"/>
        <v>322.10738255033527</v>
      </c>
      <c r="K54" s="14">
        <f t="shared" si="5"/>
        <v>414.40170357751191</v>
      </c>
      <c r="L54" s="14">
        <f t="shared" si="7"/>
        <v>50.947628139898754</v>
      </c>
      <c r="M54" s="14">
        <f t="shared" si="8"/>
        <v>92.294321027176636</v>
      </c>
      <c r="N54" s="15">
        <v>-1.726401129943504</v>
      </c>
      <c r="O54" s="15">
        <v>-0.26480112994350335</v>
      </c>
      <c r="P54" s="15">
        <f t="shared" si="10"/>
        <v>-1.4616000000000007</v>
      </c>
      <c r="Q54" s="2">
        <v>0.20799999999999999</v>
      </c>
      <c r="R54" s="2">
        <v>0.222</v>
      </c>
      <c r="S54" s="2">
        <v>0.56999999999999995</v>
      </c>
      <c r="T54" s="18" t="s">
        <v>122</v>
      </c>
    </row>
    <row r="55" spans="1:20" x14ac:dyDescent="0.2">
      <c r="A55">
        <v>10</v>
      </c>
      <c r="B55">
        <v>157</v>
      </c>
      <c r="C55" t="s">
        <v>24</v>
      </c>
      <c r="D55" t="s">
        <v>115</v>
      </c>
      <c r="E55">
        <v>3</v>
      </c>
      <c r="F55" s="14">
        <v>88.317048089524945</v>
      </c>
      <c r="G55" s="14">
        <v>106.44277733439722</v>
      </c>
      <c r="H55" s="14">
        <v>404.30261115031732</v>
      </c>
      <c r="I55" s="14">
        <v>218.0262569832401</v>
      </c>
      <c r="J55" s="14">
        <f t="shared" si="6"/>
        <v>492.61965923984224</v>
      </c>
      <c r="K55" s="14">
        <f t="shared" si="5"/>
        <v>324.46903431763735</v>
      </c>
      <c r="L55" s="14">
        <f t="shared" si="7"/>
        <v>18.125729244872275</v>
      </c>
      <c r="M55" s="14">
        <f t="shared" si="8"/>
        <v>-168.15062492220488</v>
      </c>
      <c r="N55" s="15">
        <v>14.812199999999999</v>
      </c>
      <c r="O55" s="15">
        <v>12.891687912087912</v>
      </c>
      <c r="P55" s="15">
        <f t="shared" si="10"/>
        <v>1.9205120879120869</v>
      </c>
      <c r="Q55" s="2">
        <v>0.126</v>
      </c>
      <c r="R55" s="2">
        <v>0.17</v>
      </c>
      <c r="S55" s="2">
        <v>0.70399999999999996</v>
      </c>
      <c r="T55" s="18" t="s">
        <v>122</v>
      </c>
    </row>
    <row r="56" spans="1:20" x14ac:dyDescent="0.2">
      <c r="A56">
        <v>10</v>
      </c>
      <c r="B56">
        <v>175</v>
      </c>
      <c r="C56" t="s">
        <v>24</v>
      </c>
      <c r="D56" t="s">
        <v>115</v>
      </c>
      <c r="E56">
        <v>2</v>
      </c>
      <c r="F56" s="14">
        <v>259.26900542495417</v>
      </c>
      <c r="G56" s="14">
        <v>272.91985239852323</v>
      </c>
      <c r="H56" s="14">
        <v>641.32079566003608</v>
      </c>
      <c r="I56" s="14">
        <v>777.37416974169753</v>
      </c>
      <c r="J56" s="14">
        <f t="shared" si="6"/>
        <v>900.58980108499031</v>
      </c>
      <c r="K56" s="14">
        <f t="shared" si="5"/>
        <v>1050.2940221402207</v>
      </c>
      <c r="L56" s="14">
        <f t="shared" si="7"/>
        <v>13.65084697356906</v>
      </c>
      <c r="M56" s="14">
        <f t="shared" si="8"/>
        <v>149.70422105523039</v>
      </c>
      <c r="N56" s="15">
        <v>42.255171727748682</v>
      </c>
      <c r="O56" s="15">
        <v>51.874646153846165</v>
      </c>
      <c r="P56" s="15">
        <f t="shared" si="10"/>
        <v>-9.6194744260974829</v>
      </c>
      <c r="Q56" s="2">
        <v>0.26200000000000001</v>
      </c>
      <c r="R56" s="2">
        <v>0.22700000000000001</v>
      </c>
      <c r="S56" s="2">
        <v>0.51100000000000001</v>
      </c>
      <c r="T56" s="18" t="s">
        <v>122</v>
      </c>
    </row>
    <row r="57" spans="1:20" x14ac:dyDescent="0.2">
      <c r="A57">
        <v>10</v>
      </c>
      <c r="B57">
        <v>235</v>
      </c>
      <c r="C57" t="s">
        <v>24</v>
      </c>
      <c r="D57" t="s">
        <v>115</v>
      </c>
      <c r="E57">
        <v>1</v>
      </c>
      <c r="F57" s="14">
        <v>121.73493975903573</v>
      </c>
      <c r="G57" s="14">
        <v>137.57678571428517</v>
      </c>
      <c r="H57" s="14">
        <v>429.72433734939727</v>
      </c>
      <c r="I57" s="14">
        <v>294.32410714285709</v>
      </c>
      <c r="J57" s="14">
        <f t="shared" si="6"/>
        <v>551.45927710843296</v>
      </c>
      <c r="K57" s="14">
        <f t="shared" si="5"/>
        <v>431.90089285714225</v>
      </c>
      <c r="L57" s="14">
        <f t="shared" si="7"/>
        <v>15.84184595524944</v>
      </c>
      <c r="M57" s="14">
        <f t="shared" si="8"/>
        <v>-119.5583842512907</v>
      </c>
      <c r="N57" s="15">
        <v>14.52396476476477</v>
      </c>
      <c r="O57" s="15">
        <v>24.791799999999999</v>
      </c>
      <c r="P57" s="15">
        <f t="shared" si="10"/>
        <v>-10.267835235235228</v>
      </c>
      <c r="Q57" s="2">
        <v>0.113</v>
      </c>
      <c r="R57" s="2">
        <v>0.25800000000000001</v>
      </c>
      <c r="S57" s="2">
        <v>0.628</v>
      </c>
      <c r="T57" s="18" t="s">
        <v>122</v>
      </c>
    </row>
    <row r="58" spans="1:20" x14ac:dyDescent="0.2">
      <c r="A58">
        <v>20</v>
      </c>
      <c r="B58">
        <v>51</v>
      </c>
      <c r="C58" t="s">
        <v>24</v>
      </c>
      <c r="D58" t="s">
        <v>117</v>
      </c>
      <c r="E58">
        <v>3</v>
      </c>
      <c r="F58" s="14">
        <v>347.71481481481482</v>
      </c>
      <c r="G58" s="14">
        <v>417.4161241862796</v>
      </c>
      <c r="H58" s="14">
        <v>637.737037037037</v>
      </c>
      <c r="I58" s="14">
        <v>725.54511767651479</v>
      </c>
      <c r="J58" s="14">
        <f t="shared" si="6"/>
        <v>985.45185185185187</v>
      </c>
      <c r="K58" s="14">
        <f t="shared" ref="K58:K89" si="11">G58+I58</f>
        <v>1142.9612418627944</v>
      </c>
      <c r="L58" s="14">
        <f t="shared" si="7"/>
        <v>69.701309371464788</v>
      </c>
      <c r="M58" s="14">
        <f t="shared" si="8"/>
        <v>157.50939001094252</v>
      </c>
      <c r="N58" s="15">
        <v>78.79440000000001</v>
      </c>
      <c r="O58" s="15">
        <v>72.422600000000003</v>
      </c>
      <c r="P58" s="15">
        <f t="shared" si="10"/>
        <v>6.3718000000000075</v>
      </c>
      <c r="Q58" s="2">
        <v>0.15</v>
      </c>
      <c r="R58" s="2">
        <v>0.26300000000000001</v>
      </c>
      <c r="S58" s="2">
        <v>0.58599999999999997</v>
      </c>
      <c r="T58" s="18" t="s">
        <v>122</v>
      </c>
    </row>
    <row r="59" spans="1:20" x14ac:dyDescent="0.2">
      <c r="A59">
        <v>20</v>
      </c>
      <c r="B59">
        <v>115</v>
      </c>
      <c r="C59" t="s">
        <v>24</v>
      </c>
      <c r="D59" t="s">
        <v>117</v>
      </c>
      <c r="E59">
        <v>2</v>
      </c>
      <c r="F59" s="14">
        <v>402.1136202531647</v>
      </c>
      <c r="G59" s="14">
        <v>445.63275777010364</v>
      </c>
      <c r="H59" s="14">
        <v>778.13589873417732</v>
      </c>
      <c r="I59" s="14">
        <v>725.27479033053771</v>
      </c>
      <c r="J59" s="14">
        <f t="shared" ref="J59:J90" si="12">F59+H59</f>
        <v>1180.2495189873421</v>
      </c>
      <c r="K59" s="14">
        <f t="shared" si="11"/>
        <v>1170.9075481006414</v>
      </c>
      <c r="L59" s="14">
        <f t="shared" ref="L59:L89" si="13">G59-F59</f>
        <v>43.51913751693894</v>
      </c>
      <c r="M59" s="14">
        <f t="shared" ref="M59:M89" si="14">K59-J59</f>
        <v>-9.3419708867006648</v>
      </c>
      <c r="N59" s="15">
        <v>98.2898</v>
      </c>
      <c r="O59" s="15">
        <v>87.295600000000022</v>
      </c>
      <c r="P59" s="15">
        <f t="shared" si="10"/>
        <v>10.994199999999978</v>
      </c>
      <c r="Q59" s="2">
        <v>0.17299999999999999</v>
      </c>
      <c r="R59" s="2">
        <v>0.20499999999999999</v>
      </c>
      <c r="S59" s="2">
        <v>0.622</v>
      </c>
      <c r="T59" s="18" t="s">
        <v>122</v>
      </c>
    </row>
    <row r="60" spans="1:20" x14ac:dyDescent="0.2">
      <c r="A60">
        <v>20</v>
      </c>
      <c r="B60">
        <v>150</v>
      </c>
      <c r="C60" t="s">
        <v>24</v>
      </c>
      <c r="D60" t="s">
        <v>117</v>
      </c>
      <c r="E60">
        <v>1</v>
      </c>
      <c r="F60" s="14">
        <v>429.87391937833905</v>
      </c>
      <c r="G60" s="14">
        <v>418.64985563041398</v>
      </c>
      <c r="H60" s="14">
        <v>711.05857212238948</v>
      </c>
      <c r="I60" s="14">
        <v>681.21770933589971</v>
      </c>
      <c r="J60" s="14">
        <f t="shared" si="12"/>
        <v>1140.9324915007285</v>
      </c>
      <c r="K60" s="14">
        <f t="shared" si="11"/>
        <v>1099.8675649663137</v>
      </c>
      <c r="L60" s="14">
        <f t="shared" si="13"/>
        <v>-11.224063747925072</v>
      </c>
      <c r="M60" s="14">
        <f t="shared" si="14"/>
        <v>-41.064926534414781</v>
      </c>
      <c r="N60" s="15">
        <v>101.0752</v>
      </c>
      <c r="O60" s="15">
        <v>107.9286</v>
      </c>
      <c r="P60" s="15">
        <f t="shared" si="10"/>
        <v>-6.8534000000000077</v>
      </c>
      <c r="Q60" s="2">
        <v>0.17699999999999999</v>
      </c>
      <c r="R60" s="2">
        <v>0.19900000000000001</v>
      </c>
      <c r="S60" s="2">
        <v>0.624</v>
      </c>
      <c r="T60" s="18" t="s">
        <v>122</v>
      </c>
    </row>
    <row r="61" spans="1:20" x14ac:dyDescent="0.2">
      <c r="A61">
        <v>20</v>
      </c>
      <c r="B61">
        <v>212</v>
      </c>
      <c r="C61" t="s">
        <v>24</v>
      </c>
      <c r="D61" t="s">
        <v>117</v>
      </c>
      <c r="E61">
        <v>4</v>
      </c>
      <c r="F61" s="14">
        <v>283.3479198767335</v>
      </c>
      <c r="G61" s="14">
        <v>247.87274206672097</v>
      </c>
      <c r="H61" s="14">
        <v>571.36640986132511</v>
      </c>
      <c r="I61" s="14">
        <v>419.28722538649305</v>
      </c>
      <c r="J61" s="14">
        <f t="shared" si="12"/>
        <v>854.71432973805861</v>
      </c>
      <c r="K61" s="14">
        <f t="shared" si="11"/>
        <v>667.15996745321399</v>
      </c>
      <c r="L61" s="14">
        <f t="shared" si="13"/>
        <v>-35.475177810012525</v>
      </c>
      <c r="M61" s="14">
        <f t="shared" si="14"/>
        <v>-187.55436228484461</v>
      </c>
      <c r="N61" s="15">
        <v>52.104599999999991</v>
      </c>
      <c r="O61" s="15">
        <v>59.586799999999997</v>
      </c>
      <c r="P61" s="15">
        <f t="shared" si="10"/>
        <v>-7.482200000000006</v>
      </c>
      <c r="Q61" s="2">
        <v>0.06</v>
      </c>
      <c r="R61" s="2">
        <v>0.17599999999999999</v>
      </c>
      <c r="S61" s="2">
        <v>0.76400000000000001</v>
      </c>
      <c r="T61" s="18" t="s">
        <v>122</v>
      </c>
    </row>
    <row r="62" spans="1:20" x14ac:dyDescent="0.2">
      <c r="A62">
        <v>10</v>
      </c>
      <c r="B62">
        <v>185</v>
      </c>
      <c r="C62" t="s">
        <v>22</v>
      </c>
      <c r="D62" t="s">
        <v>115</v>
      </c>
      <c r="E62">
        <v>3</v>
      </c>
      <c r="F62" s="14">
        <v>302.0912064177719</v>
      </c>
      <c r="G62" s="14">
        <v>298.22187902187881</v>
      </c>
      <c r="H62" s="14">
        <v>746.3429805615549</v>
      </c>
      <c r="I62" s="14">
        <v>1392.7135135135134</v>
      </c>
      <c r="J62" s="14">
        <f t="shared" si="12"/>
        <v>1048.4341869793268</v>
      </c>
      <c r="K62" s="14">
        <f t="shared" si="11"/>
        <v>1690.9353925353921</v>
      </c>
      <c r="L62" s="14">
        <f t="shared" si="13"/>
        <v>-3.8693273958930945</v>
      </c>
      <c r="M62" s="14">
        <f t="shared" si="14"/>
        <v>642.50120555606532</v>
      </c>
      <c r="N62" s="15">
        <v>24.303968360071309</v>
      </c>
      <c r="O62" s="15">
        <v>40.566119281045744</v>
      </c>
      <c r="P62" s="15">
        <f t="shared" si="10"/>
        <v>-16.262150920974435</v>
      </c>
      <c r="Q62" s="2">
        <v>0.14399999999999999</v>
      </c>
      <c r="R62" s="2">
        <v>0.46700000000000003</v>
      </c>
      <c r="S62" s="2">
        <v>0.38900000000000001</v>
      </c>
      <c r="T62" s="19" t="s">
        <v>121</v>
      </c>
    </row>
    <row r="63" spans="1:20" x14ac:dyDescent="0.2">
      <c r="A63">
        <v>10</v>
      </c>
      <c r="B63">
        <v>194</v>
      </c>
      <c r="C63" t="s">
        <v>22</v>
      </c>
      <c r="D63" t="s">
        <v>115</v>
      </c>
      <c r="E63">
        <v>4</v>
      </c>
      <c r="F63" s="14">
        <v>21.43705799151298</v>
      </c>
      <c r="G63" s="14">
        <v>177.2631578947362</v>
      </c>
      <c r="H63" s="14">
        <v>123.26308345120211</v>
      </c>
      <c r="I63" s="14">
        <v>325.40451127819506</v>
      </c>
      <c r="J63" s="14">
        <f t="shared" si="12"/>
        <v>144.70014144271508</v>
      </c>
      <c r="K63" s="14">
        <f t="shared" si="11"/>
        <v>502.66766917293126</v>
      </c>
      <c r="L63" s="14">
        <f t="shared" si="13"/>
        <v>155.82609990322322</v>
      </c>
      <c r="M63" s="14">
        <f t="shared" si="14"/>
        <v>357.96752773021615</v>
      </c>
      <c r="N63" s="15">
        <v>11.917172572572577</v>
      </c>
      <c r="O63" s="15">
        <v>9.7802356356356359</v>
      </c>
      <c r="P63" s="15">
        <f t="shared" si="10"/>
        <v>2.1369369369369409</v>
      </c>
      <c r="Q63" s="2">
        <v>0.13900000000000001</v>
      </c>
      <c r="R63" s="2">
        <v>0.2</v>
      </c>
      <c r="S63" s="2">
        <v>0.66100000000000003</v>
      </c>
      <c r="T63" s="19" t="s">
        <v>121</v>
      </c>
    </row>
    <row r="64" spans="1:20" x14ac:dyDescent="0.2">
      <c r="A64">
        <v>10</v>
      </c>
      <c r="B64">
        <v>215</v>
      </c>
      <c r="C64" t="s">
        <v>22</v>
      </c>
      <c r="D64" t="s">
        <v>115</v>
      </c>
      <c r="E64">
        <v>1</v>
      </c>
      <c r="F64" s="14">
        <v>163.67629733520289</v>
      </c>
      <c r="G64" s="14">
        <v>133.03889845094614</v>
      </c>
      <c r="H64" s="14">
        <v>309.28443197755922</v>
      </c>
      <c r="I64" s="14">
        <v>256.94767641996543</v>
      </c>
      <c r="J64" s="14">
        <f t="shared" si="12"/>
        <v>472.96072931276211</v>
      </c>
      <c r="K64" s="14">
        <f t="shared" si="11"/>
        <v>389.98657487091157</v>
      </c>
      <c r="L64" s="14">
        <f t="shared" si="13"/>
        <v>-30.637398884256754</v>
      </c>
      <c r="M64" s="14">
        <f t="shared" si="14"/>
        <v>-82.974154441850544</v>
      </c>
      <c r="N64" s="15">
        <v>5.7497999999999996</v>
      </c>
      <c r="O64" s="15">
        <v>25.097399999999997</v>
      </c>
      <c r="P64" s="15">
        <f t="shared" si="10"/>
        <v>-19.347599999999996</v>
      </c>
      <c r="Q64" s="2">
        <v>4.5999999999999999E-2</v>
      </c>
      <c r="R64" s="2">
        <v>0.159</v>
      </c>
      <c r="S64" s="2">
        <v>0.79400000000000004</v>
      </c>
      <c r="T64" s="19" t="s">
        <v>121</v>
      </c>
    </row>
    <row r="65" spans="1:20" x14ac:dyDescent="0.2">
      <c r="A65">
        <v>10</v>
      </c>
      <c r="B65">
        <v>245</v>
      </c>
      <c r="C65" t="s">
        <v>22</v>
      </c>
      <c r="D65" t="s">
        <v>115</v>
      </c>
      <c r="E65">
        <v>2</v>
      </c>
      <c r="F65" s="14">
        <v>180.70403489640131</v>
      </c>
      <c r="G65" s="14">
        <v>317.28821593153395</v>
      </c>
      <c r="H65" s="14">
        <v>323.94503816793889</v>
      </c>
      <c r="I65" s="14">
        <v>502.87188940092165</v>
      </c>
      <c r="J65" s="14">
        <f t="shared" si="12"/>
        <v>504.6490730643402</v>
      </c>
      <c r="K65" s="14">
        <f t="shared" si="11"/>
        <v>820.1601053324556</v>
      </c>
      <c r="L65" s="14">
        <f t="shared" si="13"/>
        <v>136.58418103513264</v>
      </c>
      <c r="M65" s="14">
        <f t="shared" si="14"/>
        <v>315.5110322681154</v>
      </c>
      <c r="N65" s="15">
        <v>21.92448031968032</v>
      </c>
      <c r="O65" s="15">
        <v>27.113</v>
      </c>
      <c r="P65" s="15">
        <f t="shared" si="10"/>
        <v>-5.1885196803196791</v>
      </c>
      <c r="Q65" s="2">
        <v>0.11899999999999999</v>
      </c>
      <c r="R65" s="2">
        <v>0.28799999999999998</v>
      </c>
      <c r="S65" s="2">
        <v>0.59299999999999997</v>
      </c>
      <c r="T65" s="19" t="s">
        <v>121</v>
      </c>
    </row>
    <row r="66" spans="1:20" x14ac:dyDescent="0.2">
      <c r="A66">
        <v>20</v>
      </c>
      <c r="B66">
        <v>47</v>
      </c>
      <c r="C66" t="s">
        <v>22</v>
      </c>
      <c r="D66" t="s">
        <v>117</v>
      </c>
      <c r="E66">
        <v>4</v>
      </c>
      <c r="F66" s="14">
        <v>610.86181172291299</v>
      </c>
      <c r="G66" s="14">
        <v>724.60031397174259</v>
      </c>
      <c r="H66" s="14">
        <v>981.66564831261098</v>
      </c>
      <c r="I66" s="14">
        <v>1183.3559811616954</v>
      </c>
      <c r="J66" s="14">
        <f t="shared" si="12"/>
        <v>1592.527460035524</v>
      </c>
      <c r="K66" s="14">
        <f t="shared" si="11"/>
        <v>1907.9562951334378</v>
      </c>
      <c r="L66" s="14">
        <f t="shared" si="13"/>
        <v>113.7385022488296</v>
      </c>
      <c r="M66" s="14">
        <f t="shared" si="14"/>
        <v>315.42883509791386</v>
      </c>
      <c r="N66" s="15">
        <v>159.3466</v>
      </c>
      <c r="O66" s="15">
        <v>150.58779999999996</v>
      </c>
      <c r="P66" s="15">
        <f t="shared" si="10"/>
        <v>8.7588000000000363</v>
      </c>
      <c r="Q66" s="2">
        <v>0.152</v>
      </c>
      <c r="R66" s="2">
        <v>0.33300000000000002</v>
      </c>
      <c r="S66" s="2">
        <v>0.51500000000000001</v>
      </c>
      <c r="T66" s="19" t="s">
        <v>121</v>
      </c>
    </row>
    <row r="67" spans="1:20" x14ac:dyDescent="0.2">
      <c r="A67">
        <v>20</v>
      </c>
      <c r="B67">
        <v>52</v>
      </c>
      <c r="C67" t="s">
        <v>22</v>
      </c>
      <c r="D67" t="s">
        <v>117</v>
      </c>
      <c r="E67">
        <v>2</v>
      </c>
      <c r="F67" s="14">
        <v>408.69047391096217</v>
      </c>
      <c r="G67" s="14">
        <v>499.31639722863747</v>
      </c>
      <c r="H67" s="14">
        <v>757.59371948300623</v>
      </c>
      <c r="I67" s="14">
        <v>839.08378752886824</v>
      </c>
      <c r="J67" s="14">
        <f t="shared" si="12"/>
        <v>1166.2841933939685</v>
      </c>
      <c r="K67" s="14">
        <f t="shared" si="11"/>
        <v>1338.4001847575057</v>
      </c>
      <c r="L67" s="14">
        <f t="shared" si="13"/>
        <v>90.625923317675301</v>
      </c>
      <c r="M67" s="14">
        <f t="shared" si="14"/>
        <v>172.1159913635372</v>
      </c>
      <c r="N67" s="15">
        <v>100.09960000000001</v>
      </c>
      <c r="O67" s="15">
        <v>97.972400000000022</v>
      </c>
      <c r="P67" s="15">
        <f t="shared" si="10"/>
        <v>2.1271999999999878</v>
      </c>
      <c r="Q67" s="2">
        <v>0.22</v>
      </c>
      <c r="R67" s="2">
        <v>-8.0000000000000002E-3</v>
      </c>
      <c r="S67" s="2">
        <v>0.78900000000000003</v>
      </c>
      <c r="T67" s="19" t="s">
        <v>121</v>
      </c>
    </row>
    <row r="68" spans="1:20" x14ac:dyDescent="0.2">
      <c r="A68">
        <v>20</v>
      </c>
      <c r="B68">
        <v>96</v>
      </c>
      <c r="C68" t="s">
        <v>22</v>
      </c>
      <c r="D68" t="s">
        <v>117</v>
      </c>
      <c r="E68">
        <v>3</v>
      </c>
      <c r="F68" s="14">
        <v>282.87609756097572</v>
      </c>
      <c r="G68" s="14">
        <v>215.85949696444067</v>
      </c>
      <c r="H68" s="14">
        <v>681.19180487804874</v>
      </c>
      <c r="I68" s="14">
        <v>656.21287077189947</v>
      </c>
      <c r="J68" s="14">
        <f t="shared" si="12"/>
        <v>964.06790243902446</v>
      </c>
      <c r="K68" s="14">
        <f t="shared" si="11"/>
        <v>872.07236773634008</v>
      </c>
      <c r="L68" s="14">
        <f t="shared" si="13"/>
        <v>-67.016600596535056</v>
      </c>
      <c r="M68" s="14">
        <f t="shared" si="14"/>
        <v>-91.995534702684381</v>
      </c>
      <c r="N68" s="15">
        <v>47.492199999999997</v>
      </c>
      <c r="O68" s="15">
        <v>54.702600000000018</v>
      </c>
      <c r="P68" s="15">
        <f t="shared" si="10"/>
        <v>-7.2104000000000212</v>
      </c>
      <c r="Q68" s="2">
        <v>0.124</v>
      </c>
      <c r="R68" s="2">
        <v>0.27400000000000002</v>
      </c>
      <c r="S68" s="2">
        <v>0.60199999999999998</v>
      </c>
      <c r="T68" s="19" t="s">
        <v>121</v>
      </c>
    </row>
    <row r="69" spans="1:20" x14ac:dyDescent="0.2">
      <c r="A69">
        <v>20</v>
      </c>
      <c r="B69">
        <v>182</v>
      </c>
      <c r="C69" t="s">
        <v>22</v>
      </c>
      <c r="D69" t="s">
        <v>117</v>
      </c>
      <c r="E69">
        <v>1</v>
      </c>
      <c r="F69" s="14">
        <v>510.74492099322799</v>
      </c>
      <c r="G69" s="14">
        <v>506.25804676753791</v>
      </c>
      <c r="H69" s="14">
        <v>860.77544018058711</v>
      </c>
      <c r="I69" s="14">
        <v>822.46184319119664</v>
      </c>
      <c r="J69" s="14">
        <f t="shared" si="12"/>
        <v>1371.5203611738152</v>
      </c>
      <c r="K69" s="14">
        <f t="shared" si="11"/>
        <v>1328.7198899587345</v>
      </c>
      <c r="L69" s="14">
        <f t="shared" si="13"/>
        <v>-4.4868742256900873</v>
      </c>
      <c r="M69" s="14">
        <f t="shared" si="14"/>
        <v>-42.800471215080734</v>
      </c>
      <c r="N69" s="15"/>
      <c r="O69" s="15"/>
      <c r="P69" s="15"/>
      <c r="Q69" s="2">
        <v>6.0999999999999999E-2</v>
      </c>
      <c r="R69" s="2">
        <v>0.28899999999999998</v>
      </c>
      <c r="S69" s="2">
        <v>0.65</v>
      </c>
      <c r="T69" s="19" t="s">
        <v>121</v>
      </c>
    </row>
    <row r="70" spans="1:20" x14ac:dyDescent="0.2">
      <c r="A70">
        <v>20</v>
      </c>
      <c r="B70">
        <v>36</v>
      </c>
      <c r="C70" t="s">
        <v>22</v>
      </c>
      <c r="D70" t="s">
        <v>118</v>
      </c>
      <c r="E70">
        <v>1</v>
      </c>
      <c r="F70" s="14">
        <v>437.62222222222221</v>
      </c>
      <c r="G70" s="14">
        <v>407.08296228986814</v>
      </c>
      <c r="H70" s="14">
        <v>1070.0328888888889</v>
      </c>
      <c r="I70" s="14">
        <v>1098.7128032712403</v>
      </c>
      <c r="J70" s="14">
        <f t="shared" si="12"/>
        <v>1507.6551111111112</v>
      </c>
      <c r="K70" s="14">
        <f t="shared" si="11"/>
        <v>1505.7957655611085</v>
      </c>
      <c r="L70" s="14">
        <f t="shared" si="13"/>
        <v>-30.539259932354071</v>
      </c>
      <c r="M70" s="14">
        <f t="shared" si="14"/>
        <v>-1.8593455500026721</v>
      </c>
      <c r="N70" s="15"/>
      <c r="O70" s="15"/>
      <c r="P70" s="15"/>
      <c r="Q70" s="2">
        <v>8.8999999999999996E-2</v>
      </c>
      <c r="R70" s="2">
        <v>0.29299999999999998</v>
      </c>
      <c r="S70" s="2">
        <v>0.61799999999999999</v>
      </c>
      <c r="T70" s="19" t="s">
        <v>121</v>
      </c>
    </row>
    <row r="71" spans="1:20" x14ac:dyDescent="0.2">
      <c r="A71">
        <v>20</v>
      </c>
      <c r="B71">
        <v>42</v>
      </c>
      <c r="C71" t="s">
        <v>22</v>
      </c>
      <c r="D71" t="s">
        <v>118</v>
      </c>
      <c r="E71">
        <v>4</v>
      </c>
      <c r="F71" s="14">
        <v>702.7084337349396</v>
      </c>
      <c r="G71" s="14">
        <v>641.66230366492152</v>
      </c>
      <c r="H71" s="14">
        <v>1129.9874698795181</v>
      </c>
      <c r="I71" s="14">
        <v>1377.3034554973822</v>
      </c>
      <c r="J71" s="14">
        <f t="shared" si="12"/>
        <v>1832.6959036144576</v>
      </c>
      <c r="K71" s="14">
        <f t="shared" si="11"/>
        <v>2018.9657591623036</v>
      </c>
      <c r="L71" s="14">
        <f t="shared" si="13"/>
        <v>-61.04613007001808</v>
      </c>
      <c r="M71" s="14">
        <f t="shared" si="14"/>
        <v>186.26985554784596</v>
      </c>
      <c r="N71" s="15">
        <v>201.99619999999999</v>
      </c>
      <c r="O71" s="15">
        <v>164.6876</v>
      </c>
      <c r="P71" s="15">
        <f>N71-O71</f>
        <v>37.308599999999984</v>
      </c>
      <c r="Q71" s="2">
        <v>0.188</v>
      </c>
      <c r="R71" s="2">
        <v>0.42399999999999999</v>
      </c>
      <c r="S71" s="2">
        <v>0.38800000000000001</v>
      </c>
      <c r="T71" s="19" t="s">
        <v>121</v>
      </c>
    </row>
    <row r="72" spans="1:20" x14ac:dyDescent="0.2">
      <c r="A72">
        <v>20</v>
      </c>
      <c r="B72">
        <v>168</v>
      </c>
      <c r="C72" t="s">
        <v>22</v>
      </c>
      <c r="D72" t="s">
        <v>118</v>
      </c>
      <c r="E72">
        <v>3</v>
      </c>
      <c r="F72" s="14">
        <v>192.82277745496796</v>
      </c>
      <c r="G72" s="14">
        <v>116.49968567579697</v>
      </c>
      <c r="H72" s="14">
        <v>714.49603718768151</v>
      </c>
      <c r="I72" s="14">
        <v>697.1016075437808</v>
      </c>
      <c r="J72" s="14">
        <f t="shared" si="12"/>
        <v>907.3188146426495</v>
      </c>
      <c r="K72" s="14">
        <f t="shared" si="11"/>
        <v>813.60129321957777</v>
      </c>
      <c r="L72" s="14">
        <f t="shared" si="13"/>
        <v>-76.323091779170994</v>
      </c>
      <c r="M72" s="14">
        <f t="shared" si="14"/>
        <v>-93.71752142307173</v>
      </c>
      <c r="N72" s="15">
        <v>43.738131570762057</v>
      </c>
      <c r="O72" s="15">
        <v>29.442931570762049</v>
      </c>
      <c r="P72" s="15">
        <f>N72-O72</f>
        <v>14.295200000000008</v>
      </c>
      <c r="Q72" s="2">
        <v>0.10299999999999999</v>
      </c>
      <c r="R72" s="2">
        <v>0.33300000000000002</v>
      </c>
      <c r="S72" s="2">
        <v>0.56399999999999995</v>
      </c>
      <c r="T72" s="19" t="s">
        <v>121</v>
      </c>
    </row>
    <row r="73" spans="1:20" x14ac:dyDescent="0.2">
      <c r="A73">
        <v>20</v>
      </c>
      <c r="B73">
        <v>270</v>
      </c>
      <c r="C73" t="s">
        <v>22</v>
      </c>
      <c r="D73" t="s">
        <v>118</v>
      </c>
      <c r="E73">
        <v>2</v>
      </c>
      <c r="F73" s="14">
        <v>431.09719844357977</v>
      </c>
      <c r="G73" s="14">
        <v>457.78259773013878</v>
      </c>
      <c r="H73" s="14">
        <v>625.95665369649817</v>
      </c>
      <c r="I73" s="14">
        <v>887.1598486759143</v>
      </c>
      <c r="J73" s="14">
        <f t="shared" si="12"/>
        <v>1057.0538521400779</v>
      </c>
      <c r="K73" s="14">
        <f t="shared" si="11"/>
        <v>1344.942446406053</v>
      </c>
      <c r="L73" s="14">
        <f t="shared" si="13"/>
        <v>26.685399286559004</v>
      </c>
      <c r="M73" s="14">
        <f t="shared" si="14"/>
        <v>287.88859426597514</v>
      </c>
      <c r="N73" s="15">
        <v>76.699600000000004</v>
      </c>
      <c r="O73" s="15">
        <v>78.770800000000008</v>
      </c>
      <c r="P73" s="15">
        <f>N73-O73</f>
        <v>-2.0712000000000046</v>
      </c>
      <c r="Q73" s="2">
        <v>4.9000000000000002E-2</v>
      </c>
      <c r="R73" s="2">
        <v>0.16300000000000001</v>
      </c>
      <c r="S73" s="2">
        <v>0.78800000000000003</v>
      </c>
      <c r="T73" s="19" t="s">
        <v>121</v>
      </c>
    </row>
    <row r="74" spans="1:20" x14ac:dyDescent="0.2">
      <c r="A74">
        <v>20</v>
      </c>
      <c r="B74">
        <v>208</v>
      </c>
      <c r="C74" t="s">
        <v>20</v>
      </c>
      <c r="D74" t="s">
        <v>115</v>
      </c>
      <c r="E74">
        <v>3</v>
      </c>
      <c r="F74" s="14">
        <v>168.67973421926911</v>
      </c>
      <c r="G74" s="14">
        <v>199.72216884008233</v>
      </c>
      <c r="H74" s="14">
        <v>655.83687707641195</v>
      </c>
      <c r="I74" s="14">
        <v>392.16280027453666</v>
      </c>
      <c r="J74" s="14">
        <f t="shared" si="12"/>
        <v>824.51661129568106</v>
      </c>
      <c r="K74" s="14">
        <f t="shared" si="11"/>
        <v>591.88496911461903</v>
      </c>
      <c r="L74" s="14">
        <f t="shared" si="13"/>
        <v>31.042434620813225</v>
      </c>
      <c r="M74" s="14">
        <f t="shared" si="14"/>
        <v>-232.63164218106203</v>
      </c>
      <c r="N74" s="15">
        <v>32.519200000000005</v>
      </c>
      <c r="O74" s="15">
        <v>30.872799999999998</v>
      </c>
      <c r="P74" s="15">
        <f>N74-O74</f>
        <v>1.646400000000007</v>
      </c>
      <c r="Q74" s="2">
        <v>6.4000000000000001E-2</v>
      </c>
      <c r="R74" s="2">
        <v>0.19600000000000001</v>
      </c>
      <c r="S74" s="2">
        <v>0.74</v>
      </c>
      <c r="T74" s="19" t="s">
        <v>121</v>
      </c>
    </row>
    <row r="75" spans="1:20" x14ac:dyDescent="0.2">
      <c r="A75">
        <v>20</v>
      </c>
      <c r="B75">
        <v>237</v>
      </c>
      <c r="C75" t="s">
        <v>20</v>
      </c>
      <c r="D75" t="s">
        <v>115</v>
      </c>
      <c r="E75">
        <v>4</v>
      </c>
      <c r="F75" s="14">
        <v>92.75678126180587</v>
      </c>
      <c r="G75" s="14">
        <v>124.32656249999998</v>
      </c>
      <c r="H75" s="14">
        <v>174.06210804684545</v>
      </c>
      <c r="I75" s="14">
        <v>203.26406249999997</v>
      </c>
      <c r="J75" s="14">
        <f t="shared" si="12"/>
        <v>266.81888930865131</v>
      </c>
      <c r="K75" s="14">
        <f t="shared" si="11"/>
        <v>327.59062499999993</v>
      </c>
      <c r="L75" s="14">
        <f t="shared" si="13"/>
        <v>31.569781238194111</v>
      </c>
      <c r="M75" s="14">
        <f t="shared" si="14"/>
        <v>60.771735691348624</v>
      </c>
      <c r="N75" s="15">
        <v>22.248132226832645</v>
      </c>
      <c r="O75" s="15">
        <v>21.477732226832643</v>
      </c>
      <c r="P75" s="15">
        <f>N75-O75</f>
        <v>0.77040000000000219</v>
      </c>
      <c r="Q75" s="2">
        <v>6.3E-2</v>
      </c>
      <c r="R75" s="2">
        <v>0.192</v>
      </c>
      <c r="S75" s="2">
        <v>0.745</v>
      </c>
      <c r="T75" s="19" t="s">
        <v>121</v>
      </c>
    </row>
    <row r="76" spans="1:20" x14ac:dyDescent="0.2">
      <c r="A76">
        <v>10</v>
      </c>
      <c r="B76">
        <v>268</v>
      </c>
      <c r="C76" t="s">
        <v>20</v>
      </c>
      <c r="D76" t="s">
        <v>115</v>
      </c>
      <c r="E76">
        <v>1</v>
      </c>
      <c r="F76" s="14">
        <v>96.761433224755393</v>
      </c>
      <c r="G76" s="14">
        <v>253.28828337874609</v>
      </c>
      <c r="H76" s="14">
        <v>366.31114006514633</v>
      </c>
      <c r="I76" s="14">
        <v>469.40926430517663</v>
      </c>
      <c r="J76" s="14">
        <f t="shared" si="12"/>
        <v>463.0725732899017</v>
      </c>
      <c r="K76" s="14">
        <f t="shared" si="11"/>
        <v>722.69754768392272</v>
      </c>
      <c r="L76" s="14">
        <f t="shared" si="13"/>
        <v>156.52685015399069</v>
      </c>
      <c r="M76" s="14">
        <f t="shared" si="14"/>
        <v>259.62497439402102</v>
      </c>
      <c r="N76" s="15"/>
      <c r="O76" s="15"/>
      <c r="P76" s="15"/>
      <c r="Q76" s="2">
        <v>5.1999999999999998E-2</v>
      </c>
      <c r="R76" s="2">
        <v>0.121</v>
      </c>
      <c r="S76" s="2">
        <v>0.82599999999999996</v>
      </c>
      <c r="T76" s="19" t="s">
        <v>121</v>
      </c>
    </row>
    <row r="77" spans="1:20" x14ac:dyDescent="0.2">
      <c r="A77">
        <v>10</v>
      </c>
      <c r="B77">
        <v>278</v>
      </c>
      <c r="C77" t="s">
        <v>20</v>
      </c>
      <c r="D77" t="s">
        <v>115</v>
      </c>
      <c r="E77">
        <v>2</v>
      </c>
      <c r="F77" s="14">
        <v>92.637953091684366</v>
      </c>
      <c r="G77" s="14">
        <v>191.27984546039897</v>
      </c>
      <c r="H77" s="14">
        <v>253.13859275053315</v>
      </c>
      <c r="I77" s="14">
        <v>272.28100450740527</v>
      </c>
      <c r="J77" s="14">
        <f t="shared" si="12"/>
        <v>345.7765458422175</v>
      </c>
      <c r="K77" s="14">
        <f t="shared" si="11"/>
        <v>463.56084996780424</v>
      </c>
      <c r="L77" s="14">
        <f t="shared" si="13"/>
        <v>98.641892368714608</v>
      </c>
      <c r="M77" s="14">
        <f t="shared" si="14"/>
        <v>117.78430412558674</v>
      </c>
      <c r="N77" s="15">
        <v>17.376033133732534</v>
      </c>
      <c r="O77" s="15">
        <v>19.769399999999997</v>
      </c>
      <c r="P77" s="15">
        <f t="shared" ref="P77:P88" si="15">N77-O77</f>
        <v>-2.3933668662674634</v>
      </c>
      <c r="Q77" s="2">
        <v>6.0999999999999999E-2</v>
      </c>
      <c r="R77" s="2">
        <v>8.8999999999999996E-2</v>
      </c>
      <c r="S77" s="2">
        <v>0.85</v>
      </c>
      <c r="T77" s="19" t="s">
        <v>121</v>
      </c>
    </row>
    <row r="78" spans="1:20" x14ac:dyDescent="0.2">
      <c r="A78">
        <v>20</v>
      </c>
      <c r="B78">
        <v>45</v>
      </c>
      <c r="C78" t="s">
        <v>20</v>
      </c>
      <c r="D78" t="s">
        <v>117</v>
      </c>
      <c r="E78">
        <v>1</v>
      </c>
      <c r="F78" s="14">
        <v>346.96926543488053</v>
      </c>
      <c r="G78" s="14">
        <v>373.67263017356464</v>
      </c>
      <c r="H78" s="14">
        <v>841.46876971608822</v>
      </c>
      <c r="I78" s="14">
        <v>804.00320427236306</v>
      </c>
      <c r="J78" s="14">
        <f t="shared" si="12"/>
        <v>1188.4380351509687</v>
      </c>
      <c r="K78" s="14">
        <f t="shared" si="11"/>
        <v>1177.6758344459276</v>
      </c>
      <c r="L78" s="14">
        <f t="shared" si="13"/>
        <v>26.703364738684115</v>
      </c>
      <c r="M78" s="14">
        <f t="shared" si="14"/>
        <v>-10.762200705041096</v>
      </c>
      <c r="N78" s="15">
        <v>101.07659999999998</v>
      </c>
      <c r="O78" s="15">
        <v>107.28539999999998</v>
      </c>
      <c r="P78" s="15">
        <f t="shared" si="15"/>
        <v>-6.2087999999999965</v>
      </c>
      <c r="Q78" s="2">
        <v>0.20499999999999999</v>
      </c>
      <c r="R78" s="2">
        <v>0.185</v>
      </c>
      <c r="S78" s="2">
        <v>0.61099999999999999</v>
      </c>
      <c r="T78" s="19" t="s">
        <v>121</v>
      </c>
    </row>
    <row r="79" spans="1:20" x14ac:dyDescent="0.2">
      <c r="A79">
        <v>10</v>
      </c>
      <c r="B79">
        <v>86</v>
      </c>
      <c r="C79" t="s">
        <v>20</v>
      </c>
      <c r="D79" t="s">
        <v>117</v>
      </c>
      <c r="E79">
        <v>4</v>
      </c>
      <c r="F79" s="14">
        <v>411.11417004048576</v>
      </c>
      <c r="G79" s="14">
        <v>670.15515342250183</v>
      </c>
      <c r="H79" s="14">
        <v>851.3744939271254</v>
      </c>
      <c r="I79" s="14">
        <v>1033.8514555468137</v>
      </c>
      <c r="J79" s="14">
        <f t="shared" si="12"/>
        <v>1262.488663967611</v>
      </c>
      <c r="K79" s="14">
        <f t="shared" si="11"/>
        <v>1704.0066089693155</v>
      </c>
      <c r="L79" s="14">
        <f t="shared" si="13"/>
        <v>259.04098338201607</v>
      </c>
      <c r="M79" s="14">
        <f t="shared" si="14"/>
        <v>441.51794500170445</v>
      </c>
      <c r="N79" s="15">
        <v>99.871399999999966</v>
      </c>
      <c r="O79" s="15">
        <v>123.66084637681158</v>
      </c>
      <c r="P79" s="15">
        <f t="shared" si="15"/>
        <v>-23.789446376811611</v>
      </c>
      <c r="Q79" s="2">
        <v>7.4999999999999997E-2</v>
      </c>
      <c r="R79" s="2">
        <v>0.16400000000000001</v>
      </c>
      <c r="S79" s="2">
        <v>0.76100000000000001</v>
      </c>
      <c r="T79" s="19" t="s">
        <v>121</v>
      </c>
    </row>
    <row r="80" spans="1:20" x14ac:dyDescent="0.2">
      <c r="A80">
        <v>10</v>
      </c>
      <c r="B80">
        <v>222</v>
      </c>
      <c r="C80" t="s">
        <v>20</v>
      </c>
      <c r="D80" t="s">
        <v>117</v>
      </c>
      <c r="E80">
        <v>2</v>
      </c>
      <c r="F80" s="14">
        <v>449.52914521112234</v>
      </c>
      <c r="G80" s="14">
        <v>381.33752680486054</v>
      </c>
      <c r="H80" s="14">
        <v>853.7932028836251</v>
      </c>
      <c r="I80" s="14">
        <v>830.92580414581857</v>
      </c>
      <c r="J80" s="14">
        <f t="shared" si="12"/>
        <v>1303.3223480947474</v>
      </c>
      <c r="K80" s="14">
        <f t="shared" si="11"/>
        <v>1212.2633309506791</v>
      </c>
      <c r="L80" s="14">
        <f t="shared" si="13"/>
        <v>-68.191618406261796</v>
      </c>
      <c r="M80" s="14">
        <f t="shared" si="14"/>
        <v>-91.059017144068321</v>
      </c>
      <c r="N80" s="15">
        <v>109.56179840319362</v>
      </c>
      <c r="O80" s="15">
        <v>115.41077168949769</v>
      </c>
      <c r="P80" s="15">
        <f t="shared" si="15"/>
        <v>-5.8489732863040729</v>
      </c>
      <c r="Q80" s="2">
        <v>9.7000000000000003E-2</v>
      </c>
      <c r="R80" s="2">
        <v>0.13100000000000001</v>
      </c>
      <c r="S80" s="2">
        <v>0.77200000000000002</v>
      </c>
      <c r="T80" s="19" t="s">
        <v>121</v>
      </c>
    </row>
    <row r="81" spans="1:20" x14ac:dyDescent="0.2">
      <c r="A81">
        <v>20</v>
      </c>
      <c r="B81">
        <v>230</v>
      </c>
      <c r="C81" t="s">
        <v>20</v>
      </c>
      <c r="D81" t="s">
        <v>117</v>
      </c>
      <c r="E81">
        <v>3</v>
      </c>
      <c r="F81" s="14">
        <v>550.06332046332045</v>
      </c>
      <c r="G81" s="14">
        <v>554.97439170323094</v>
      </c>
      <c r="H81" s="14">
        <v>774.10126861555443</v>
      </c>
      <c r="I81" s="14">
        <v>790.74782608695648</v>
      </c>
      <c r="J81" s="14">
        <f t="shared" si="12"/>
        <v>1324.164589078875</v>
      </c>
      <c r="K81" s="14">
        <f t="shared" si="11"/>
        <v>1345.7222177901874</v>
      </c>
      <c r="L81" s="14">
        <f t="shared" si="13"/>
        <v>4.9110712399104841</v>
      </c>
      <c r="M81" s="14">
        <f t="shared" si="14"/>
        <v>21.557628711312418</v>
      </c>
      <c r="N81" s="15">
        <v>111.73359999999998</v>
      </c>
      <c r="O81" s="15">
        <v>139.43200000000002</v>
      </c>
      <c r="P81" s="15">
        <f t="shared" si="15"/>
        <v>-27.698400000000035</v>
      </c>
      <c r="Q81" s="2">
        <v>0.13200000000000001</v>
      </c>
      <c r="R81" s="2">
        <v>0.214</v>
      </c>
      <c r="S81" s="2">
        <v>0.65400000000000003</v>
      </c>
      <c r="T81" s="19" t="s">
        <v>121</v>
      </c>
    </row>
    <row r="82" spans="1:20" x14ac:dyDescent="0.2">
      <c r="A82">
        <v>10</v>
      </c>
      <c r="B82">
        <v>26</v>
      </c>
      <c r="C82" t="s">
        <v>20</v>
      </c>
      <c r="D82" t="s">
        <v>118</v>
      </c>
      <c r="E82">
        <v>1</v>
      </c>
      <c r="F82" s="14">
        <v>339.3735548172757</v>
      </c>
      <c r="G82" s="14">
        <v>272.96634113104687</v>
      </c>
      <c r="H82" s="14">
        <v>775.42325581395323</v>
      </c>
      <c r="I82" s="14">
        <v>816.83370429252773</v>
      </c>
      <c r="J82" s="14">
        <f t="shared" si="12"/>
        <v>1114.7968106312289</v>
      </c>
      <c r="K82" s="14">
        <f t="shared" si="11"/>
        <v>1089.8000454235746</v>
      </c>
      <c r="L82" s="14">
        <f t="shared" si="13"/>
        <v>-66.407213686228829</v>
      </c>
      <c r="M82" s="14">
        <f t="shared" si="14"/>
        <v>-24.996765207654335</v>
      </c>
      <c r="N82" s="15">
        <v>81.303600000000017</v>
      </c>
      <c r="O82" s="15">
        <v>85.726233819241969</v>
      </c>
      <c r="P82" s="15">
        <f t="shared" si="15"/>
        <v>-4.4226338192419519</v>
      </c>
      <c r="Q82" s="2">
        <v>9.7000000000000003E-2</v>
      </c>
      <c r="R82" s="2">
        <v>0.121</v>
      </c>
      <c r="S82" s="2">
        <v>0.78200000000000003</v>
      </c>
      <c r="T82" s="19" t="s">
        <v>121</v>
      </c>
    </row>
    <row r="83" spans="1:20" x14ac:dyDescent="0.2">
      <c r="A83">
        <v>20</v>
      </c>
      <c r="B83">
        <v>74</v>
      </c>
      <c r="C83" t="s">
        <v>20</v>
      </c>
      <c r="D83" t="s">
        <v>118</v>
      </c>
      <c r="E83">
        <v>4</v>
      </c>
      <c r="F83" s="14">
        <v>111.70756972111556</v>
      </c>
      <c r="G83" s="14">
        <v>119.15300215982724</v>
      </c>
      <c r="H83" s="14">
        <v>516.27011952191242</v>
      </c>
      <c r="I83" s="14">
        <v>627.18997840172779</v>
      </c>
      <c r="J83" s="14">
        <f t="shared" si="12"/>
        <v>627.97768924302795</v>
      </c>
      <c r="K83" s="14">
        <f t="shared" si="11"/>
        <v>746.34298056155501</v>
      </c>
      <c r="L83" s="14">
        <f t="shared" si="13"/>
        <v>7.445432438711677</v>
      </c>
      <c r="M83" s="14">
        <f t="shared" si="14"/>
        <v>118.36529131852706</v>
      </c>
      <c r="N83" s="15">
        <v>15.912999999999997</v>
      </c>
      <c r="O83" s="15">
        <v>18.913000000000004</v>
      </c>
      <c r="P83" s="15">
        <f t="shared" si="15"/>
        <v>-3.0000000000000071</v>
      </c>
      <c r="Q83" s="2">
        <v>0.14399999999999999</v>
      </c>
      <c r="R83" s="2">
        <v>0.16600000000000001</v>
      </c>
      <c r="S83" s="2">
        <v>0.69</v>
      </c>
      <c r="T83" s="19" t="s">
        <v>121</v>
      </c>
    </row>
    <row r="84" spans="1:20" x14ac:dyDescent="0.2">
      <c r="A84">
        <v>10</v>
      </c>
      <c r="B84">
        <v>77</v>
      </c>
      <c r="C84" t="s">
        <v>20</v>
      </c>
      <c r="D84" t="s">
        <v>118</v>
      </c>
      <c r="E84">
        <v>3</v>
      </c>
      <c r="F84" s="14">
        <v>150.64698795180726</v>
      </c>
      <c r="G84" s="14">
        <v>143.56598493003213</v>
      </c>
      <c r="H84" s="14">
        <v>1024.8560240963857</v>
      </c>
      <c r="I84" s="14">
        <v>1097.9534983853609</v>
      </c>
      <c r="J84" s="14">
        <f t="shared" si="12"/>
        <v>1175.5030120481929</v>
      </c>
      <c r="K84" s="14">
        <f t="shared" si="11"/>
        <v>1241.519483315393</v>
      </c>
      <c r="L84" s="14">
        <f t="shared" si="13"/>
        <v>-7.0810030217751319</v>
      </c>
      <c r="M84" s="14">
        <f t="shared" si="14"/>
        <v>66.016471267200131</v>
      </c>
      <c r="N84" s="15">
        <v>55.280869026548686</v>
      </c>
      <c r="O84" s="15">
        <v>60.694535593220337</v>
      </c>
      <c r="P84" s="15">
        <f t="shared" si="15"/>
        <v>-5.413666566671651</v>
      </c>
      <c r="Q84" s="2">
        <v>0.17100000000000001</v>
      </c>
      <c r="R84" s="2">
        <v>0.28499999999999998</v>
      </c>
      <c r="S84" s="2">
        <v>0.54400000000000004</v>
      </c>
      <c r="T84" s="19" t="s">
        <v>121</v>
      </c>
    </row>
    <row r="85" spans="1:20" x14ac:dyDescent="0.2">
      <c r="A85">
        <v>10</v>
      </c>
      <c r="B85">
        <v>103</v>
      </c>
      <c r="C85" t="s">
        <v>20</v>
      </c>
      <c r="D85" t="s">
        <v>118</v>
      </c>
      <c r="E85">
        <v>2</v>
      </c>
      <c r="F85" s="14">
        <v>470.13188720173525</v>
      </c>
      <c r="G85" s="14">
        <v>276.38072646404714</v>
      </c>
      <c r="H85" s="14">
        <v>780.81344902386138</v>
      </c>
      <c r="I85" s="14">
        <v>2223.404299481097</v>
      </c>
      <c r="J85" s="14">
        <f t="shared" si="12"/>
        <v>1250.9453362255967</v>
      </c>
      <c r="K85" s="14">
        <f t="shared" si="11"/>
        <v>2499.7850259451443</v>
      </c>
      <c r="L85" s="14">
        <f t="shared" si="13"/>
        <v>-193.75116073768811</v>
      </c>
      <c r="M85" s="14">
        <f t="shared" si="14"/>
        <v>1248.8396897195476</v>
      </c>
      <c r="N85" s="15">
        <v>41.899127472527468</v>
      </c>
      <c r="O85" s="15">
        <v>87.629115723270431</v>
      </c>
      <c r="P85" s="15">
        <f t="shared" si="15"/>
        <v>-45.729988250742963</v>
      </c>
      <c r="Q85" s="2">
        <v>0.08</v>
      </c>
      <c r="R85" s="2">
        <v>0.13</v>
      </c>
      <c r="S85" s="2">
        <v>0.79100000000000004</v>
      </c>
      <c r="T85" s="19" t="s">
        <v>121</v>
      </c>
    </row>
    <row r="86" spans="1:20" x14ac:dyDescent="0.2">
      <c r="A86">
        <v>10</v>
      </c>
      <c r="B86">
        <v>29</v>
      </c>
      <c r="C86" t="s">
        <v>19</v>
      </c>
      <c r="D86" t="s">
        <v>115</v>
      </c>
      <c r="E86">
        <v>3</v>
      </c>
      <c r="F86" s="14">
        <v>158.84017467248853</v>
      </c>
      <c r="G86" s="14">
        <v>265.42907180385242</v>
      </c>
      <c r="H86" s="14">
        <v>255.46794759825323</v>
      </c>
      <c r="I86" s="14">
        <v>611.81401050788088</v>
      </c>
      <c r="J86" s="14">
        <f t="shared" si="12"/>
        <v>414.30812227074176</v>
      </c>
      <c r="K86" s="14">
        <f t="shared" si="11"/>
        <v>877.24308231173336</v>
      </c>
      <c r="L86" s="14">
        <f t="shared" si="13"/>
        <v>106.58889713136389</v>
      </c>
      <c r="M86" s="14">
        <f t="shared" si="14"/>
        <v>462.9349600409916</v>
      </c>
      <c r="N86" s="15">
        <v>6.8071424272818462</v>
      </c>
      <c r="O86" s="15">
        <v>26.448644355644355</v>
      </c>
      <c r="P86" s="15">
        <f t="shared" si="15"/>
        <v>-19.641501928362509</v>
      </c>
      <c r="Q86" s="2">
        <v>0.122</v>
      </c>
      <c r="R86" s="2">
        <v>0.183</v>
      </c>
      <c r="S86" s="2">
        <v>0.69499999999999995</v>
      </c>
      <c r="T86" s="18" t="s">
        <v>122</v>
      </c>
    </row>
    <row r="87" spans="1:20" x14ac:dyDescent="0.2">
      <c r="A87">
        <v>10</v>
      </c>
      <c r="B87">
        <v>98</v>
      </c>
      <c r="C87" t="s">
        <v>19</v>
      </c>
      <c r="D87" t="s">
        <v>115</v>
      </c>
      <c r="E87">
        <v>2</v>
      </c>
      <c r="F87" s="14">
        <v>233.39364773820949</v>
      </c>
      <c r="G87" s="14">
        <v>186.41069518716515</v>
      </c>
      <c r="H87" s="14">
        <v>523.67699711260821</v>
      </c>
      <c r="I87" s="14">
        <v>595.7037433155075</v>
      </c>
      <c r="J87" s="14">
        <f t="shared" si="12"/>
        <v>757.07064485081764</v>
      </c>
      <c r="K87" s="14">
        <f t="shared" si="11"/>
        <v>782.11443850267267</v>
      </c>
      <c r="L87" s="14">
        <f t="shared" si="13"/>
        <v>-46.982952551044349</v>
      </c>
      <c r="M87" s="14">
        <f t="shared" si="14"/>
        <v>25.043793651855026</v>
      </c>
      <c r="N87" s="15">
        <v>27.529600000000002</v>
      </c>
      <c r="O87" s="15">
        <v>55.677501587301578</v>
      </c>
      <c r="P87" s="15">
        <f t="shared" si="15"/>
        <v>-28.147901587301575</v>
      </c>
      <c r="Q87" s="2">
        <v>0.108</v>
      </c>
      <c r="R87" s="2">
        <v>0.16400000000000001</v>
      </c>
      <c r="S87" s="2">
        <v>0.72899999999999998</v>
      </c>
      <c r="T87" s="18" t="s">
        <v>122</v>
      </c>
    </row>
    <row r="88" spans="1:20" x14ac:dyDescent="0.2">
      <c r="A88">
        <v>10</v>
      </c>
      <c r="B88">
        <v>111</v>
      </c>
      <c r="C88" t="s">
        <v>19</v>
      </c>
      <c r="D88" t="s">
        <v>115</v>
      </c>
      <c r="E88">
        <v>1</v>
      </c>
      <c r="F88" s="14">
        <v>181.04436860068193</v>
      </c>
      <c r="G88" s="14">
        <v>185.06864014801064</v>
      </c>
      <c r="H88" s="14">
        <v>640.12116040955596</v>
      </c>
      <c r="I88" s="14">
        <v>489.31026827011993</v>
      </c>
      <c r="J88" s="14">
        <f t="shared" si="12"/>
        <v>821.16552901023783</v>
      </c>
      <c r="K88" s="14">
        <f t="shared" si="11"/>
        <v>674.37890841813055</v>
      </c>
      <c r="L88" s="14">
        <f t="shared" si="13"/>
        <v>4.0242715473287092</v>
      </c>
      <c r="M88" s="14">
        <f t="shared" si="14"/>
        <v>-146.78662059210728</v>
      </c>
      <c r="N88" s="15">
        <v>19.213986784140971</v>
      </c>
      <c r="O88" s="15">
        <v>27.517624197535895</v>
      </c>
      <c r="P88" s="15">
        <f t="shared" si="15"/>
        <v>-8.3036374133949238</v>
      </c>
      <c r="Q88" s="2">
        <v>0.17199999999999999</v>
      </c>
      <c r="R88" s="2">
        <v>0.14199999999999999</v>
      </c>
      <c r="S88" s="2">
        <v>0.68600000000000005</v>
      </c>
      <c r="T88" s="18" t="s">
        <v>122</v>
      </c>
    </row>
    <row r="89" spans="1:20" x14ac:dyDescent="0.2">
      <c r="A89">
        <v>10</v>
      </c>
      <c r="B89">
        <v>121</v>
      </c>
      <c r="C89" t="s">
        <v>19</v>
      </c>
      <c r="D89" t="s">
        <v>115</v>
      </c>
      <c r="E89">
        <v>4</v>
      </c>
      <c r="F89" s="14">
        <v>152.70151870601279</v>
      </c>
      <c r="G89" s="14">
        <v>164.65578484888798</v>
      </c>
      <c r="H89" s="14">
        <v>385.12221261884156</v>
      </c>
      <c r="I89" s="14">
        <v>367.24697110903975</v>
      </c>
      <c r="J89" s="14">
        <f t="shared" si="12"/>
        <v>537.82373132485441</v>
      </c>
      <c r="K89" s="14">
        <f t="shared" si="11"/>
        <v>531.90275595792775</v>
      </c>
      <c r="L89" s="14">
        <f t="shared" si="13"/>
        <v>11.954266142875184</v>
      </c>
      <c r="M89" s="14">
        <f t="shared" si="14"/>
        <v>-5.9209753669266547</v>
      </c>
      <c r="N89" s="15"/>
      <c r="O89" s="15">
        <v>41.201454038179151</v>
      </c>
      <c r="P89" s="15"/>
      <c r="Q89" s="2">
        <v>0.222</v>
      </c>
      <c r="R89" s="2">
        <v>0.13600000000000001</v>
      </c>
      <c r="S89" s="2">
        <v>0.64200000000000002</v>
      </c>
      <c r="T89" s="18" t="s">
        <v>122</v>
      </c>
    </row>
    <row r="90" spans="1:20" x14ac:dyDescent="0.2">
      <c r="A90">
        <v>20</v>
      </c>
      <c r="B90">
        <v>39</v>
      </c>
      <c r="C90" t="s">
        <v>19</v>
      </c>
      <c r="D90" t="s">
        <v>117</v>
      </c>
      <c r="E90">
        <v>1</v>
      </c>
      <c r="F90" s="14">
        <v>300.18009188361401</v>
      </c>
      <c r="G90" s="14"/>
      <c r="H90" s="14">
        <v>512.16294027565084</v>
      </c>
      <c r="I90" s="14">
        <v>585.42489270386261</v>
      </c>
      <c r="J90" s="14">
        <f t="shared" si="12"/>
        <v>812.34303215926479</v>
      </c>
      <c r="K90" s="14"/>
      <c r="L90" s="14"/>
      <c r="M90" s="14"/>
      <c r="N90" s="15">
        <v>53.368599999999986</v>
      </c>
      <c r="O90" s="15">
        <v>68.650599999999983</v>
      </c>
      <c r="P90" s="15">
        <f t="shared" ref="P90:P119" si="16">N90-O90</f>
        <v>-15.281999999999996</v>
      </c>
      <c r="Q90" s="2">
        <v>0.159</v>
      </c>
      <c r="R90" s="2">
        <v>0.14599999999999999</v>
      </c>
      <c r="S90" s="2">
        <v>0.69499999999999995</v>
      </c>
      <c r="T90" s="18" t="s">
        <v>122</v>
      </c>
    </row>
    <row r="91" spans="1:20" x14ac:dyDescent="0.2">
      <c r="A91">
        <v>20</v>
      </c>
      <c r="B91">
        <v>67</v>
      </c>
      <c r="C91" t="s">
        <v>19</v>
      </c>
      <c r="D91" t="s">
        <v>117</v>
      </c>
      <c r="E91">
        <v>2</v>
      </c>
      <c r="F91" s="14">
        <v>676.27169062964788</v>
      </c>
      <c r="G91" s="14">
        <v>671.88382165605071</v>
      </c>
      <c r="H91" s="14">
        <v>898.68993554784311</v>
      </c>
      <c r="I91" s="14">
        <v>839.21121019108261</v>
      </c>
      <c r="J91" s="14">
        <f t="shared" ref="J91:J122" si="17">F91+H91</f>
        <v>1574.9616261774909</v>
      </c>
      <c r="K91" s="14">
        <f t="shared" ref="K91:K122" si="18">G91+I91</f>
        <v>1511.0950318471332</v>
      </c>
      <c r="L91" s="14">
        <f t="shared" ref="L91:L122" si="19">G91-F91</f>
        <v>-4.3878689735971648</v>
      </c>
      <c r="M91" s="14">
        <f t="shared" ref="M91:M122" si="20">K91-J91</f>
        <v>-63.866594330357657</v>
      </c>
      <c r="N91" s="15">
        <v>209.35919999999999</v>
      </c>
      <c r="O91" s="15">
        <v>212.83320000000003</v>
      </c>
      <c r="P91" s="15">
        <f t="shared" si="16"/>
        <v>-3.4740000000000464</v>
      </c>
      <c r="Q91" s="2">
        <v>0.13500000000000001</v>
      </c>
      <c r="R91" s="2">
        <v>0.14099999999999999</v>
      </c>
      <c r="S91" s="2">
        <v>0.72299999999999998</v>
      </c>
      <c r="T91" s="18" t="s">
        <v>122</v>
      </c>
    </row>
    <row r="92" spans="1:20" x14ac:dyDescent="0.2">
      <c r="A92">
        <v>20</v>
      </c>
      <c r="B92">
        <v>148</v>
      </c>
      <c r="C92" t="s">
        <v>19</v>
      </c>
      <c r="D92" t="s">
        <v>117</v>
      </c>
      <c r="E92">
        <v>3</v>
      </c>
      <c r="F92" s="14">
        <v>197.56765238382584</v>
      </c>
      <c r="G92" s="14">
        <v>697.74283170080128</v>
      </c>
      <c r="H92" s="14">
        <v>1050.0354858177427</v>
      </c>
      <c r="I92" s="14">
        <v>685.59643811219928</v>
      </c>
      <c r="J92" s="14">
        <f t="shared" si="17"/>
        <v>1247.6031382015685</v>
      </c>
      <c r="K92" s="14">
        <f t="shared" si="18"/>
        <v>1383.3392698130006</v>
      </c>
      <c r="L92" s="14">
        <f t="shared" si="19"/>
        <v>500.17517931697546</v>
      </c>
      <c r="M92" s="14">
        <f t="shared" si="20"/>
        <v>135.73613161143203</v>
      </c>
      <c r="N92" s="15">
        <v>188.12619999999998</v>
      </c>
      <c r="O92" s="15">
        <v>198.44139999999999</v>
      </c>
      <c r="P92" s="15">
        <f t="shared" si="16"/>
        <v>-10.315200000000004</v>
      </c>
      <c r="Q92" s="2">
        <v>0.161</v>
      </c>
      <c r="R92" s="2">
        <v>0.17100000000000001</v>
      </c>
      <c r="S92" s="2">
        <v>0.66900000000000004</v>
      </c>
      <c r="T92" s="18" t="s">
        <v>122</v>
      </c>
    </row>
    <row r="93" spans="1:20" x14ac:dyDescent="0.2">
      <c r="A93">
        <v>20</v>
      </c>
      <c r="B93">
        <v>211</v>
      </c>
      <c r="C93" t="s">
        <v>19</v>
      </c>
      <c r="D93" t="s">
        <v>117</v>
      </c>
      <c r="E93">
        <v>4</v>
      </c>
      <c r="F93" s="14">
        <v>461.26956521739112</v>
      </c>
      <c r="G93" s="14">
        <v>573.63590780428615</v>
      </c>
      <c r="H93" s="14">
        <v>707.99514661273997</v>
      </c>
      <c r="I93" s="14">
        <v>770.97646583097435</v>
      </c>
      <c r="J93" s="14">
        <f t="shared" si="17"/>
        <v>1169.2647118301311</v>
      </c>
      <c r="K93" s="14">
        <f t="shared" si="18"/>
        <v>1344.6123736352606</v>
      </c>
      <c r="L93" s="14">
        <f t="shared" si="19"/>
        <v>112.36634258689503</v>
      </c>
      <c r="M93" s="14">
        <f t="shared" si="20"/>
        <v>175.34766180512952</v>
      </c>
      <c r="N93" s="15">
        <v>120.64380000000001</v>
      </c>
      <c r="O93" s="15">
        <v>103.4646</v>
      </c>
      <c r="P93" s="15">
        <f t="shared" si="16"/>
        <v>17.179200000000009</v>
      </c>
      <c r="Q93" s="2">
        <v>9.0999999999999998E-2</v>
      </c>
      <c r="R93" s="2">
        <v>0.16</v>
      </c>
      <c r="S93" s="2">
        <v>0.749</v>
      </c>
      <c r="T93" s="18" t="s">
        <v>122</v>
      </c>
    </row>
    <row r="94" spans="1:20" x14ac:dyDescent="0.2">
      <c r="A94">
        <v>20</v>
      </c>
      <c r="B94">
        <v>63</v>
      </c>
      <c r="C94" t="s">
        <v>19</v>
      </c>
      <c r="D94" t="s">
        <v>116</v>
      </c>
      <c r="E94">
        <v>2</v>
      </c>
      <c r="F94" s="14">
        <v>375.8858212447355</v>
      </c>
      <c r="G94" s="14">
        <v>419.47657701711478</v>
      </c>
      <c r="H94" s="14">
        <v>668.08385587271869</v>
      </c>
      <c r="I94" s="14">
        <v>650.7074816625917</v>
      </c>
      <c r="J94" s="14">
        <f t="shared" si="17"/>
        <v>1043.9696771174542</v>
      </c>
      <c r="K94" s="14">
        <f t="shared" si="18"/>
        <v>1070.1840586797066</v>
      </c>
      <c r="L94" s="14">
        <f t="shared" si="19"/>
        <v>43.590755772379282</v>
      </c>
      <c r="M94" s="14">
        <f t="shared" si="20"/>
        <v>26.214381562252356</v>
      </c>
      <c r="N94" s="15">
        <v>124.02320000000002</v>
      </c>
      <c r="O94" s="15">
        <v>119.63719999999999</v>
      </c>
      <c r="P94" s="15">
        <f t="shared" si="16"/>
        <v>4.3860000000000241</v>
      </c>
      <c r="Q94" s="2">
        <v>0.182</v>
      </c>
      <c r="R94" s="2">
        <v>0.184</v>
      </c>
      <c r="S94" s="2">
        <v>0.63400000000000001</v>
      </c>
      <c r="T94" s="18" t="s">
        <v>122</v>
      </c>
    </row>
    <row r="95" spans="1:20" x14ac:dyDescent="0.2">
      <c r="A95">
        <v>20</v>
      </c>
      <c r="B95">
        <v>138</v>
      </c>
      <c r="C95" t="s">
        <v>19</v>
      </c>
      <c r="D95" t="s">
        <v>116</v>
      </c>
      <c r="E95">
        <v>3</v>
      </c>
      <c r="F95" s="14">
        <v>399.02961918194626</v>
      </c>
      <c r="G95" s="14">
        <v>321.74090202177285</v>
      </c>
      <c r="H95" s="14">
        <v>599.96953455571224</v>
      </c>
      <c r="I95" s="14">
        <v>596.34027993779148</v>
      </c>
      <c r="J95" s="14">
        <f t="shared" si="17"/>
        <v>998.9991537376585</v>
      </c>
      <c r="K95" s="14">
        <f t="shared" si="18"/>
        <v>918.08118195956433</v>
      </c>
      <c r="L95" s="14">
        <f t="shared" si="19"/>
        <v>-77.288717160173405</v>
      </c>
      <c r="M95" s="14">
        <f t="shared" si="20"/>
        <v>-80.91797177809417</v>
      </c>
      <c r="N95" s="15">
        <v>90.34559999999999</v>
      </c>
      <c r="O95" s="15">
        <v>102.09</v>
      </c>
      <c r="P95" s="15">
        <f t="shared" si="16"/>
        <v>-11.744400000000013</v>
      </c>
      <c r="Q95" s="2">
        <v>0.13400000000000001</v>
      </c>
      <c r="R95" s="2">
        <v>0.112</v>
      </c>
      <c r="S95" s="2">
        <v>0.754</v>
      </c>
      <c r="T95" s="18" t="s">
        <v>122</v>
      </c>
    </row>
    <row r="96" spans="1:20" x14ac:dyDescent="0.2">
      <c r="A96">
        <v>20</v>
      </c>
      <c r="B96">
        <v>160</v>
      </c>
      <c r="C96" t="s">
        <v>19</v>
      </c>
      <c r="D96" t="s">
        <v>116</v>
      </c>
      <c r="E96">
        <v>4</v>
      </c>
      <c r="F96" s="14">
        <v>196.64007060900252</v>
      </c>
      <c r="G96" s="14">
        <v>131.06075388026605</v>
      </c>
      <c r="H96" s="14">
        <v>393.28014121800527</v>
      </c>
      <c r="I96" s="14">
        <v>262.1215077605321</v>
      </c>
      <c r="J96" s="14">
        <f t="shared" si="17"/>
        <v>589.92021182700773</v>
      </c>
      <c r="K96" s="14">
        <f t="shared" si="18"/>
        <v>393.18226164079817</v>
      </c>
      <c r="L96" s="14">
        <f t="shared" si="19"/>
        <v>-65.579316728736472</v>
      </c>
      <c r="M96" s="14">
        <f t="shared" si="20"/>
        <v>-196.73795018620956</v>
      </c>
      <c r="N96" s="15">
        <v>32.299400000000006</v>
      </c>
      <c r="O96" s="15">
        <v>39.835399999999993</v>
      </c>
      <c r="P96" s="15">
        <f t="shared" si="16"/>
        <v>-7.5359999999999872</v>
      </c>
      <c r="Q96" s="2">
        <v>8.8999999999999996E-2</v>
      </c>
      <c r="R96" s="2">
        <v>0.11700000000000001</v>
      </c>
      <c r="S96" s="2">
        <v>0.79400000000000004</v>
      </c>
      <c r="T96" s="18" t="s">
        <v>122</v>
      </c>
    </row>
    <row r="97" spans="1:20" x14ac:dyDescent="0.2">
      <c r="A97">
        <v>20</v>
      </c>
      <c r="B97">
        <v>277</v>
      </c>
      <c r="C97" t="s">
        <v>19</v>
      </c>
      <c r="D97" t="s">
        <v>116</v>
      </c>
      <c r="E97">
        <v>1</v>
      </c>
      <c r="F97" s="14">
        <v>108.45476451259569</v>
      </c>
      <c r="G97" s="14">
        <v>133.45682837342008</v>
      </c>
      <c r="H97" s="14">
        <v>193.66922234392115</v>
      </c>
      <c r="I97" s="14">
        <v>249.61369751324904</v>
      </c>
      <c r="J97" s="14">
        <f t="shared" si="17"/>
        <v>302.12398685651681</v>
      </c>
      <c r="K97" s="14">
        <f t="shared" si="18"/>
        <v>383.07052588666909</v>
      </c>
      <c r="L97" s="14">
        <f t="shared" si="19"/>
        <v>25.002063860824393</v>
      </c>
      <c r="M97" s="14">
        <f t="shared" si="20"/>
        <v>80.94653903015228</v>
      </c>
      <c r="N97" s="15">
        <v>28.484400000000004</v>
      </c>
      <c r="O97" s="15">
        <v>25.232399999999995</v>
      </c>
      <c r="P97" s="15">
        <f t="shared" si="16"/>
        <v>3.2520000000000095</v>
      </c>
      <c r="Q97" s="2">
        <v>0.14000000000000001</v>
      </c>
      <c r="R97" s="2">
        <v>0.11799999999999999</v>
      </c>
      <c r="S97" s="2">
        <v>0.74299999999999999</v>
      </c>
      <c r="T97" s="18" t="s">
        <v>122</v>
      </c>
    </row>
    <row r="98" spans="1:20" x14ac:dyDescent="0.2">
      <c r="A98">
        <v>20</v>
      </c>
      <c r="B98">
        <v>92</v>
      </c>
      <c r="C98" t="s">
        <v>19</v>
      </c>
      <c r="D98" t="s">
        <v>118</v>
      </c>
      <c r="E98">
        <v>4</v>
      </c>
      <c r="F98" s="14">
        <v>702.64513761467856</v>
      </c>
      <c r="G98" s="14">
        <v>949.61170731707318</v>
      </c>
      <c r="H98" s="14">
        <v>1177.2550458715596</v>
      </c>
      <c r="I98" s="14">
        <v>1271.6253658536586</v>
      </c>
      <c r="J98" s="14">
        <f t="shared" si="17"/>
        <v>1879.9001834862381</v>
      </c>
      <c r="K98" s="14">
        <f t="shared" si="18"/>
        <v>2221.2370731707319</v>
      </c>
      <c r="L98" s="14">
        <f t="shared" si="19"/>
        <v>246.96656970239462</v>
      </c>
      <c r="M98" s="14">
        <f t="shared" si="20"/>
        <v>341.33688968449383</v>
      </c>
      <c r="N98" s="15">
        <v>168.80380080482897</v>
      </c>
      <c r="O98" s="15">
        <v>164.46420080482895</v>
      </c>
      <c r="P98" s="15">
        <f t="shared" si="16"/>
        <v>4.3396000000000186</v>
      </c>
      <c r="Q98" s="2">
        <v>0.128</v>
      </c>
      <c r="R98" s="2">
        <v>0.14799999999999999</v>
      </c>
      <c r="S98" s="2">
        <v>0.72499999999999998</v>
      </c>
      <c r="T98" s="18" t="s">
        <v>122</v>
      </c>
    </row>
    <row r="99" spans="1:20" x14ac:dyDescent="0.2">
      <c r="A99">
        <v>10</v>
      </c>
      <c r="B99">
        <v>131</v>
      </c>
      <c r="C99" t="s">
        <v>19</v>
      </c>
      <c r="D99" t="s">
        <v>118</v>
      </c>
      <c r="E99">
        <v>2</v>
      </c>
      <c r="F99" s="14">
        <v>224.4128755364805</v>
      </c>
      <c r="G99" s="14">
        <v>157.17333333333309</v>
      </c>
      <c r="H99" s="14">
        <v>723.65021459227478</v>
      </c>
      <c r="I99" s="14">
        <v>849.48444444444453</v>
      </c>
      <c r="J99" s="14">
        <f t="shared" si="17"/>
        <v>948.06309012875522</v>
      </c>
      <c r="K99" s="14">
        <f t="shared" si="18"/>
        <v>1006.6577777777776</v>
      </c>
      <c r="L99" s="14">
        <f t="shared" si="19"/>
        <v>-67.239542203147408</v>
      </c>
      <c r="M99" s="14">
        <f t="shared" si="20"/>
        <v>58.594687649022376</v>
      </c>
      <c r="N99" s="15">
        <v>62.166643912175665</v>
      </c>
      <c r="O99" s="15">
        <v>72.18859999999998</v>
      </c>
      <c r="P99" s="15">
        <f t="shared" si="16"/>
        <v>-10.021956087824314</v>
      </c>
      <c r="Q99" s="2">
        <v>8.7999999999999995E-2</v>
      </c>
      <c r="R99" s="2">
        <v>0.152</v>
      </c>
      <c r="S99" s="2">
        <v>0.76</v>
      </c>
      <c r="T99" s="18" t="s">
        <v>122</v>
      </c>
    </row>
    <row r="100" spans="1:20" x14ac:dyDescent="0.2">
      <c r="A100">
        <v>20</v>
      </c>
      <c r="B100">
        <v>134</v>
      </c>
      <c r="C100" t="s">
        <v>19</v>
      </c>
      <c r="D100" t="s">
        <v>118</v>
      </c>
      <c r="E100">
        <v>3</v>
      </c>
      <c r="F100" s="14">
        <v>208.50564568462011</v>
      </c>
      <c r="G100" s="14">
        <v>357.0837855724684</v>
      </c>
      <c r="H100" s="14">
        <v>857.62699545749513</v>
      </c>
      <c r="I100" s="14">
        <v>1043.1661151555261</v>
      </c>
      <c r="J100" s="14">
        <f t="shared" si="17"/>
        <v>1066.1326411421153</v>
      </c>
      <c r="K100" s="14">
        <f t="shared" si="18"/>
        <v>1400.2499007279944</v>
      </c>
      <c r="L100" s="14">
        <f t="shared" si="19"/>
        <v>148.57813988784829</v>
      </c>
      <c r="M100" s="14">
        <f t="shared" si="20"/>
        <v>334.11725958587908</v>
      </c>
      <c r="N100" s="15">
        <v>74.899029191797325</v>
      </c>
      <c r="O100" s="15">
        <v>19.095429191797322</v>
      </c>
      <c r="P100" s="15">
        <f t="shared" si="16"/>
        <v>55.803600000000003</v>
      </c>
      <c r="Q100" s="2">
        <v>0.35699999999999998</v>
      </c>
      <c r="R100" s="2">
        <v>0.14799999999999999</v>
      </c>
      <c r="S100" s="2">
        <v>0.495</v>
      </c>
      <c r="T100" s="18" t="s">
        <v>122</v>
      </c>
    </row>
    <row r="101" spans="1:20" x14ac:dyDescent="0.2">
      <c r="A101">
        <v>20</v>
      </c>
      <c r="B101">
        <v>279</v>
      </c>
      <c r="C101" t="s">
        <v>19</v>
      </c>
      <c r="D101" t="s">
        <v>118</v>
      </c>
      <c r="E101">
        <v>1</v>
      </c>
      <c r="F101" s="14">
        <v>205.83214854111392</v>
      </c>
      <c r="G101" s="14">
        <v>167.19591419816112</v>
      </c>
      <c r="H101" s="14">
        <v>1038.8091246684348</v>
      </c>
      <c r="I101" s="14">
        <v>1006.2717058222677</v>
      </c>
      <c r="J101" s="14">
        <f t="shared" si="17"/>
        <v>1244.6412732095487</v>
      </c>
      <c r="K101" s="14">
        <f t="shared" si="18"/>
        <v>1173.4676200204287</v>
      </c>
      <c r="L101" s="14">
        <f t="shared" si="19"/>
        <v>-38.636234342952804</v>
      </c>
      <c r="M101" s="14">
        <f t="shared" si="20"/>
        <v>-71.173653189119932</v>
      </c>
      <c r="N101" s="15">
        <v>49.782000000000011</v>
      </c>
      <c r="O101" s="15">
        <v>74.271599999999978</v>
      </c>
      <c r="P101" s="15">
        <f t="shared" si="16"/>
        <v>-24.489599999999967</v>
      </c>
      <c r="Q101" s="2">
        <v>0.11899999999999999</v>
      </c>
      <c r="R101" s="2">
        <v>0.123</v>
      </c>
      <c r="S101" s="2">
        <v>0.75800000000000001</v>
      </c>
      <c r="T101" s="18" t="s">
        <v>122</v>
      </c>
    </row>
    <row r="102" spans="1:20" x14ac:dyDescent="0.2">
      <c r="A102">
        <v>10</v>
      </c>
      <c r="B102">
        <v>44</v>
      </c>
      <c r="C102" t="s">
        <v>21</v>
      </c>
      <c r="D102" t="s">
        <v>115</v>
      </c>
      <c r="E102">
        <v>3</v>
      </c>
      <c r="F102" s="14">
        <v>160.72911032028424</v>
      </c>
      <c r="G102" s="14">
        <v>189.37437125748431</v>
      </c>
      <c r="H102" s="14">
        <v>229.2277580071173</v>
      </c>
      <c r="I102" s="14">
        <v>338.81676646706563</v>
      </c>
      <c r="J102" s="14">
        <f t="shared" si="17"/>
        <v>389.95686832740154</v>
      </c>
      <c r="K102" s="14">
        <f t="shared" si="18"/>
        <v>528.19113772454989</v>
      </c>
      <c r="L102" s="14">
        <f t="shared" si="19"/>
        <v>28.645260937200078</v>
      </c>
      <c r="M102" s="14">
        <f t="shared" si="20"/>
        <v>138.23426939714835</v>
      </c>
      <c r="N102" s="15">
        <v>34.323992332968231</v>
      </c>
      <c r="O102" s="15">
        <v>26.454055036344759</v>
      </c>
      <c r="P102" s="15">
        <f t="shared" si="16"/>
        <v>7.8699372966234726</v>
      </c>
      <c r="Q102" s="2">
        <v>0.246</v>
      </c>
      <c r="R102" s="2">
        <v>0.19600000000000001</v>
      </c>
      <c r="S102" s="2">
        <v>0.55800000000000005</v>
      </c>
      <c r="T102" s="20" t="s">
        <v>123</v>
      </c>
    </row>
    <row r="103" spans="1:20" x14ac:dyDescent="0.2">
      <c r="A103">
        <v>10</v>
      </c>
      <c r="B103">
        <v>155</v>
      </c>
      <c r="C103" t="s">
        <v>21</v>
      </c>
      <c r="D103" t="s">
        <v>115</v>
      </c>
      <c r="E103">
        <v>2</v>
      </c>
      <c r="F103" s="14">
        <v>116.20712342960725</v>
      </c>
      <c r="G103" s="14">
        <v>131.26785393978201</v>
      </c>
      <c r="H103" s="14">
        <v>126.41450589301878</v>
      </c>
      <c r="I103" s="14">
        <v>358.85058295964132</v>
      </c>
      <c r="J103" s="14">
        <f t="shared" si="17"/>
        <v>242.62162932262603</v>
      </c>
      <c r="K103" s="14">
        <f t="shared" si="18"/>
        <v>490.11843689942333</v>
      </c>
      <c r="L103" s="14">
        <f t="shared" si="19"/>
        <v>15.060730510174764</v>
      </c>
      <c r="M103" s="14">
        <f t="shared" si="20"/>
        <v>247.49680757679729</v>
      </c>
      <c r="N103" s="15">
        <v>18.853829540918163</v>
      </c>
      <c r="O103" s="15">
        <v>25.212974342797061</v>
      </c>
      <c r="P103" s="15">
        <f t="shared" si="16"/>
        <v>-6.3591448018788981</v>
      </c>
      <c r="Q103" s="2">
        <v>0.29499999999999998</v>
      </c>
      <c r="R103" s="2">
        <v>0.221</v>
      </c>
      <c r="S103" s="2">
        <v>0.48399999999999999</v>
      </c>
      <c r="T103" s="20" t="s">
        <v>123</v>
      </c>
    </row>
    <row r="104" spans="1:20" x14ac:dyDescent="0.2">
      <c r="A104">
        <v>10</v>
      </c>
      <c r="B104">
        <v>232</v>
      </c>
      <c r="C104" t="s">
        <v>21</v>
      </c>
      <c r="D104" t="s">
        <v>115</v>
      </c>
      <c r="E104">
        <v>1</v>
      </c>
      <c r="F104" s="14">
        <v>129.51904047975978</v>
      </c>
      <c r="G104" s="14">
        <v>167.49946524064151</v>
      </c>
      <c r="H104" s="14">
        <v>432.86626686656655</v>
      </c>
      <c r="I104" s="14">
        <v>341.75294117647024</v>
      </c>
      <c r="J104" s="14">
        <f t="shared" si="17"/>
        <v>562.38530734632627</v>
      </c>
      <c r="K104" s="14">
        <f t="shared" si="18"/>
        <v>509.25240641711173</v>
      </c>
      <c r="L104" s="14">
        <f t="shared" si="19"/>
        <v>37.980424760881732</v>
      </c>
      <c r="M104" s="14">
        <f t="shared" si="20"/>
        <v>-53.132900929214543</v>
      </c>
      <c r="N104" s="15">
        <v>9.5689184477193034</v>
      </c>
      <c r="O104" s="15">
        <v>31.042508131488638</v>
      </c>
      <c r="P104" s="15">
        <f t="shared" si="16"/>
        <v>-21.473589683769333</v>
      </c>
      <c r="Q104" s="2">
        <v>0.186</v>
      </c>
      <c r="R104" s="2">
        <v>0.19900000000000001</v>
      </c>
      <c r="S104" s="2">
        <v>0.61399999999999999</v>
      </c>
      <c r="T104" s="20" t="s">
        <v>123</v>
      </c>
    </row>
    <row r="105" spans="1:20" x14ac:dyDescent="0.2">
      <c r="A105">
        <v>10</v>
      </c>
      <c r="B105">
        <v>275</v>
      </c>
      <c r="C105" t="s">
        <v>21</v>
      </c>
      <c r="D105" t="s">
        <v>115</v>
      </c>
      <c r="E105">
        <v>4</v>
      </c>
      <c r="F105" s="14">
        <v>282.11168316831629</v>
      </c>
      <c r="G105" s="14">
        <v>275.13450500556138</v>
      </c>
      <c r="H105" s="14">
        <v>230.09108910891072</v>
      </c>
      <c r="I105" s="14">
        <v>404.60956618464934</v>
      </c>
      <c r="J105" s="14">
        <f t="shared" si="17"/>
        <v>512.20277227722704</v>
      </c>
      <c r="K105" s="14">
        <f t="shared" si="18"/>
        <v>679.74407119021066</v>
      </c>
      <c r="L105" s="14">
        <f t="shared" si="19"/>
        <v>-6.9771781627549103</v>
      </c>
      <c r="M105" s="14">
        <f t="shared" si="20"/>
        <v>167.54129891298362</v>
      </c>
      <c r="N105" s="15">
        <v>51.406281720430101</v>
      </c>
      <c r="O105" s="15">
        <v>53.975105882352949</v>
      </c>
      <c r="P105" s="15">
        <f t="shared" si="16"/>
        <v>-2.5688241619228478</v>
      </c>
      <c r="Q105" s="2">
        <v>0.219</v>
      </c>
      <c r="R105" s="2">
        <v>0.221</v>
      </c>
      <c r="S105" s="2">
        <v>0.56000000000000005</v>
      </c>
      <c r="T105" s="20" t="s">
        <v>123</v>
      </c>
    </row>
    <row r="106" spans="1:20" x14ac:dyDescent="0.2">
      <c r="A106">
        <v>20</v>
      </c>
      <c r="B106">
        <v>2</v>
      </c>
      <c r="C106" t="s">
        <v>21</v>
      </c>
      <c r="D106" t="s">
        <v>117</v>
      </c>
      <c r="E106">
        <v>1</v>
      </c>
      <c r="F106" s="14">
        <v>551.43482142857124</v>
      </c>
      <c r="G106" s="14">
        <v>608.40643240023803</v>
      </c>
      <c r="H106" s="14">
        <v>759.49151785714264</v>
      </c>
      <c r="I106" s="14">
        <v>926.14985110184625</v>
      </c>
      <c r="J106" s="14">
        <f t="shared" si="17"/>
        <v>1310.9263392857138</v>
      </c>
      <c r="K106" s="14">
        <f t="shared" si="18"/>
        <v>1534.5562835020842</v>
      </c>
      <c r="L106" s="14">
        <f t="shared" si="19"/>
        <v>56.971610971666792</v>
      </c>
      <c r="M106" s="14">
        <f t="shared" si="20"/>
        <v>223.6299442163704</v>
      </c>
      <c r="N106" s="15">
        <v>144.30279999999999</v>
      </c>
      <c r="O106" s="15">
        <v>138.19719999999998</v>
      </c>
      <c r="P106" s="15">
        <f t="shared" si="16"/>
        <v>6.1056000000000097</v>
      </c>
      <c r="Q106" s="2">
        <v>0.24399999999999999</v>
      </c>
      <c r="R106" s="2">
        <v>0.249</v>
      </c>
      <c r="S106" s="2">
        <v>0.50700000000000001</v>
      </c>
      <c r="T106" s="20" t="s">
        <v>123</v>
      </c>
    </row>
    <row r="107" spans="1:20" x14ac:dyDescent="0.2">
      <c r="A107">
        <v>20</v>
      </c>
      <c r="B107">
        <v>25</v>
      </c>
      <c r="C107" t="s">
        <v>21</v>
      </c>
      <c r="D107" t="s">
        <v>117</v>
      </c>
      <c r="E107">
        <v>2</v>
      </c>
      <c r="F107" s="14">
        <v>579.52178770949706</v>
      </c>
      <c r="G107" s="14">
        <v>629.97831325301183</v>
      </c>
      <c r="H107" s="14">
        <v>1023.5709497206703</v>
      </c>
      <c r="I107" s="14">
        <v>865.53542168674676</v>
      </c>
      <c r="J107" s="14">
        <f t="shared" si="17"/>
        <v>1603.0927374301673</v>
      </c>
      <c r="K107" s="14">
        <f t="shared" si="18"/>
        <v>1495.5137349397587</v>
      </c>
      <c r="L107" s="14">
        <f t="shared" si="19"/>
        <v>50.456525543514772</v>
      </c>
      <c r="M107" s="14">
        <f t="shared" si="20"/>
        <v>-107.57900249040858</v>
      </c>
      <c r="N107" s="15">
        <v>125.61499999999997</v>
      </c>
      <c r="O107" s="15">
        <v>122.74219999999998</v>
      </c>
      <c r="P107" s="15">
        <f t="shared" si="16"/>
        <v>2.8727999999999838</v>
      </c>
      <c r="Q107" s="2">
        <v>0.20100000000000001</v>
      </c>
      <c r="R107" s="2">
        <v>0.186</v>
      </c>
      <c r="S107" s="2">
        <v>0.61299999999999999</v>
      </c>
      <c r="T107" s="20" t="s">
        <v>123</v>
      </c>
    </row>
    <row r="108" spans="1:20" x14ac:dyDescent="0.2">
      <c r="A108">
        <v>20</v>
      </c>
      <c r="B108">
        <v>117</v>
      </c>
      <c r="C108" t="s">
        <v>21</v>
      </c>
      <c r="D108" t="s">
        <v>117</v>
      </c>
      <c r="E108">
        <v>4</v>
      </c>
      <c r="F108" s="14">
        <v>503.61630094043875</v>
      </c>
      <c r="G108" s="14">
        <v>341.27362428842486</v>
      </c>
      <c r="H108" s="14">
        <v>858.99836990595611</v>
      </c>
      <c r="I108" s="14">
        <v>935.62656546489552</v>
      </c>
      <c r="J108" s="14">
        <f t="shared" si="17"/>
        <v>1362.6146708463948</v>
      </c>
      <c r="K108" s="14">
        <f t="shared" si="18"/>
        <v>1276.9001897533203</v>
      </c>
      <c r="L108" s="14">
        <f t="shared" si="19"/>
        <v>-162.34267665201389</v>
      </c>
      <c r="M108" s="14">
        <f t="shared" si="20"/>
        <v>-85.714481093074482</v>
      </c>
      <c r="N108" s="15">
        <v>121.28400000000001</v>
      </c>
      <c r="O108" s="15">
        <v>119.04959999999998</v>
      </c>
      <c r="P108" s="15">
        <f t="shared" si="16"/>
        <v>2.2344000000000221</v>
      </c>
      <c r="Q108" s="2">
        <v>0.20599999999999999</v>
      </c>
      <c r="R108" s="2">
        <v>0.182</v>
      </c>
      <c r="S108" s="2">
        <v>0.61199999999999999</v>
      </c>
      <c r="T108" s="20" t="s">
        <v>123</v>
      </c>
    </row>
    <row r="109" spans="1:20" x14ac:dyDescent="0.2">
      <c r="A109">
        <v>20</v>
      </c>
      <c r="B109">
        <v>241</v>
      </c>
      <c r="C109" t="s">
        <v>21</v>
      </c>
      <c r="D109" t="s">
        <v>117</v>
      </c>
      <c r="E109">
        <v>3</v>
      </c>
      <c r="F109" s="14">
        <v>512.67241157556248</v>
      </c>
      <c r="G109" s="14">
        <v>500.11750503018084</v>
      </c>
      <c r="H109" s="14">
        <v>744.64205787781327</v>
      </c>
      <c r="I109" s="14">
        <v>676.98832997987904</v>
      </c>
      <c r="J109" s="14">
        <f t="shared" si="17"/>
        <v>1257.3144694533758</v>
      </c>
      <c r="K109" s="14">
        <f t="shared" si="18"/>
        <v>1177.1058350100598</v>
      </c>
      <c r="L109" s="14">
        <f t="shared" si="19"/>
        <v>-12.554906545381641</v>
      </c>
      <c r="M109" s="14">
        <f t="shared" si="20"/>
        <v>-80.208634443315987</v>
      </c>
      <c r="N109" s="15">
        <v>107.98879999999998</v>
      </c>
      <c r="O109" s="15">
        <v>108.40399999999998</v>
      </c>
      <c r="P109" s="15">
        <f t="shared" si="16"/>
        <v>-0.41519999999999868</v>
      </c>
      <c r="Q109" s="2">
        <v>0.19</v>
      </c>
      <c r="R109" s="2">
        <v>0.215</v>
      </c>
      <c r="S109" s="2">
        <v>0.59499999999999997</v>
      </c>
      <c r="T109" s="20" t="s">
        <v>123</v>
      </c>
    </row>
    <row r="110" spans="1:20" x14ac:dyDescent="0.2">
      <c r="A110">
        <v>10</v>
      </c>
      <c r="B110">
        <v>7</v>
      </c>
      <c r="C110" t="s">
        <v>21</v>
      </c>
      <c r="D110" t="s">
        <v>116</v>
      </c>
      <c r="E110">
        <v>2</v>
      </c>
      <c r="F110" s="14">
        <v>235.54190564292318</v>
      </c>
      <c r="G110" s="14">
        <v>241.63955600403605</v>
      </c>
      <c r="H110" s="14">
        <v>298.63348751156371</v>
      </c>
      <c r="I110" s="14">
        <v>451.16246215943477</v>
      </c>
      <c r="J110" s="14">
        <f t="shared" si="17"/>
        <v>534.17539315448687</v>
      </c>
      <c r="K110" s="14">
        <f t="shared" si="18"/>
        <v>692.80201816347085</v>
      </c>
      <c r="L110" s="14">
        <f t="shared" si="19"/>
        <v>6.0976503611128692</v>
      </c>
      <c r="M110" s="14">
        <f t="shared" si="20"/>
        <v>158.62662500898398</v>
      </c>
      <c r="N110" s="15">
        <v>71.301498855835234</v>
      </c>
      <c r="O110" s="15">
        <v>61.703842975206612</v>
      </c>
      <c r="P110" s="15">
        <f t="shared" si="16"/>
        <v>9.5976558806286221</v>
      </c>
      <c r="Q110" s="2">
        <v>0.214</v>
      </c>
      <c r="R110" s="2">
        <v>0.222</v>
      </c>
      <c r="S110" s="2">
        <v>0.56399999999999995</v>
      </c>
      <c r="T110" s="20" t="s">
        <v>123</v>
      </c>
    </row>
    <row r="111" spans="1:20" x14ac:dyDescent="0.2">
      <c r="A111">
        <v>20</v>
      </c>
      <c r="B111">
        <v>20</v>
      </c>
      <c r="C111" t="s">
        <v>21</v>
      </c>
      <c r="D111" t="s">
        <v>116</v>
      </c>
      <c r="E111">
        <v>1</v>
      </c>
      <c r="F111" s="14">
        <v>250.19428571428551</v>
      </c>
      <c r="G111" s="14">
        <v>322.55076923076928</v>
      </c>
      <c r="H111" s="14">
        <v>755.39428571428562</v>
      </c>
      <c r="I111" s="14">
        <v>542.11846153846136</v>
      </c>
      <c r="J111" s="14">
        <f t="shared" si="17"/>
        <v>1005.5885714285712</v>
      </c>
      <c r="K111" s="14">
        <f t="shared" si="18"/>
        <v>864.66923076923058</v>
      </c>
      <c r="L111" s="14">
        <f t="shared" si="19"/>
        <v>72.356483516483763</v>
      </c>
      <c r="M111" s="14">
        <f t="shared" si="20"/>
        <v>-140.91934065934061</v>
      </c>
      <c r="N111" s="15">
        <v>83.151200000000003</v>
      </c>
      <c r="O111" s="15">
        <v>71.928799999999995</v>
      </c>
      <c r="P111" s="15">
        <f t="shared" si="16"/>
        <v>11.222400000000007</v>
      </c>
      <c r="Q111" s="2">
        <v>0.22900000000000001</v>
      </c>
      <c r="R111" s="2">
        <v>0.22900000000000001</v>
      </c>
      <c r="S111" s="2">
        <v>0.54200000000000004</v>
      </c>
      <c r="T111" s="20" t="s">
        <v>123</v>
      </c>
    </row>
    <row r="112" spans="1:20" x14ac:dyDescent="0.2">
      <c r="A112">
        <v>20</v>
      </c>
      <c r="B112">
        <v>27</v>
      </c>
      <c r="C112" t="s">
        <v>21</v>
      </c>
      <c r="D112" t="s">
        <v>116</v>
      </c>
      <c r="E112">
        <v>3</v>
      </c>
      <c r="F112" s="14">
        <v>388.03256561328323</v>
      </c>
      <c r="G112" s="14">
        <v>347.61467889908261</v>
      </c>
      <c r="H112" s="14">
        <v>600.71987145152627</v>
      </c>
      <c r="I112" s="14">
        <v>627.69279161205748</v>
      </c>
      <c r="J112" s="14">
        <f t="shared" si="17"/>
        <v>988.75243706480956</v>
      </c>
      <c r="K112" s="14">
        <f t="shared" si="18"/>
        <v>975.30747051114008</v>
      </c>
      <c r="L112" s="14">
        <f t="shared" si="19"/>
        <v>-40.41788671420062</v>
      </c>
      <c r="M112" s="14">
        <f t="shared" si="20"/>
        <v>-13.444966553669474</v>
      </c>
      <c r="N112" s="15">
        <v>51.208600000000004</v>
      </c>
      <c r="O112" s="15">
        <v>103.0882</v>
      </c>
      <c r="P112" s="15">
        <f t="shared" si="16"/>
        <v>-51.879599999999996</v>
      </c>
      <c r="Q112" s="2">
        <v>0.25800000000000001</v>
      </c>
      <c r="R112" s="2">
        <v>0.25600000000000001</v>
      </c>
      <c r="S112" s="2">
        <v>0.48599999999999999</v>
      </c>
      <c r="T112" s="20" t="s">
        <v>123</v>
      </c>
    </row>
    <row r="113" spans="1:20" x14ac:dyDescent="0.2">
      <c r="A113">
        <v>20</v>
      </c>
      <c r="B113">
        <v>159</v>
      </c>
      <c r="C113" t="s">
        <v>21</v>
      </c>
      <c r="D113" t="s">
        <v>116</v>
      </c>
      <c r="E113">
        <v>4</v>
      </c>
      <c r="F113" s="14">
        <v>287.74324460070312</v>
      </c>
      <c r="G113" s="14">
        <v>276.1578436657681</v>
      </c>
      <c r="H113" s="14">
        <v>505.45374183827209</v>
      </c>
      <c r="I113" s="14">
        <v>532.70684636118585</v>
      </c>
      <c r="J113" s="14">
        <f t="shared" si="17"/>
        <v>793.19698643897527</v>
      </c>
      <c r="K113" s="14">
        <f t="shared" si="18"/>
        <v>808.86469002695389</v>
      </c>
      <c r="L113" s="14">
        <f t="shared" si="19"/>
        <v>-11.585400934935024</v>
      </c>
      <c r="M113" s="14">
        <f t="shared" si="20"/>
        <v>15.667703587978622</v>
      </c>
      <c r="N113" s="15">
        <v>50.40140000000001</v>
      </c>
      <c r="O113" s="15">
        <v>61.010600000000011</v>
      </c>
      <c r="P113" s="15">
        <f t="shared" si="16"/>
        <v>-10.609200000000001</v>
      </c>
      <c r="Q113" s="2">
        <v>0.16500000000000001</v>
      </c>
      <c r="R113" s="2">
        <v>0.22700000000000001</v>
      </c>
      <c r="S113" s="2">
        <v>0.60799999999999998</v>
      </c>
      <c r="T113" s="20" t="s">
        <v>123</v>
      </c>
    </row>
    <row r="114" spans="1:20" x14ac:dyDescent="0.2">
      <c r="A114">
        <v>20</v>
      </c>
      <c r="B114">
        <v>102</v>
      </c>
      <c r="C114" t="s">
        <v>21</v>
      </c>
      <c r="D114" t="s">
        <v>118</v>
      </c>
      <c r="E114">
        <v>1</v>
      </c>
      <c r="F114" s="14">
        <v>225.72765957446802</v>
      </c>
      <c r="G114" s="14">
        <v>232.4539877300613</v>
      </c>
      <c r="H114" s="14">
        <v>834.83404255319124</v>
      </c>
      <c r="I114" s="14">
        <v>922.37742331288325</v>
      </c>
      <c r="J114" s="14">
        <f t="shared" si="17"/>
        <v>1060.5617021276594</v>
      </c>
      <c r="K114" s="14">
        <f t="shared" si="18"/>
        <v>1154.8314110429446</v>
      </c>
      <c r="L114" s="14">
        <f t="shared" si="19"/>
        <v>6.7263281555932792</v>
      </c>
      <c r="M114" s="14">
        <f t="shared" si="20"/>
        <v>94.269708915285264</v>
      </c>
      <c r="N114" s="15">
        <v>98.1524</v>
      </c>
      <c r="O114" s="15">
        <v>90.558800000000005</v>
      </c>
      <c r="P114" s="15">
        <f t="shared" si="16"/>
        <v>7.593599999999995</v>
      </c>
      <c r="Q114" s="2">
        <v>0.223</v>
      </c>
      <c r="R114" s="2">
        <v>0.223</v>
      </c>
      <c r="S114" s="2">
        <v>0.55400000000000005</v>
      </c>
      <c r="T114" s="20" t="s">
        <v>123</v>
      </c>
    </row>
    <row r="115" spans="1:20" x14ac:dyDescent="0.2">
      <c r="A115">
        <v>20</v>
      </c>
      <c r="B115">
        <v>119</v>
      </c>
      <c r="C115" t="s">
        <v>21</v>
      </c>
      <c r="D115" t="s">
        <v>118</v>
      </c>
      <c r="E115">
        <v>3</v>
      </c>
      <c r="F115" s="14">
        <v>341.29923664122123</v>
      </c>
      <c r="G115" s="14">
        <v>591.78711340206178</v>
      </c>
      <c r="H115" s="14">
        <v>913.98778625954174</v>
      </c>
      <c r="I115" s="14">
        <v>874.98556701030918</v>
      </c>
      <c r="J115" s="14">
        <f t="shared" si="17"/>
        <v>1255.2870229007631</v>
      </c>
      <c r="K115" s="14">
        <f t="shared" si="18"/>
        <v>1466.7726804123708</v>
      </c>
      <c r="L115" s="14">
        <f t="shared" si="19"/>
        <v>250.48787676084055</v>
      </c>
      <c r="M115" s="14">
        <f t="shared" si="20"/>
        <v>211.48565751160777</v>
      </c>
      <c r="N115" s="15">
        <v>122.84979999999999</v>
      </c>
      <c r="O115" s="15">
        <v>102.24699999999999</v>
      </c>
      <c r="P115" s="15">
        <f t="shared" si="16"/>
        <v>20.602800000000002</v>
      </c>
      <c r="Q115" s="2">
        <v>0.20300000000000001</v>
      </c>
      <c r="R115" s="2">
        <v>0.193</v>
      </c>
      <c r="S115" s="2">
        <v>0.60399999999999998</v>
      </c>
      <c r="T115" s="20" t="s">
        <v>123</v>
      </c>
    </row>
    <row r="116" spans="1:20" x14ac:dyDescent="0.2">
      <c r="A116">
        <v>20</v>
      </c>
      <c r="B116">
        <v>190</v>
      </c>
      <c r="C116" t="s">
        <v>21</v>
      </c>
      <c r="D116" t="s">
        <v>118</v>
      </c>
      <c r="E116">
        <v>2</v>
      </c>
      <c r="F116" s="14">
        <v>299.86433013001698</v>
      </c>
      <c r="G116" s="14">
        <v>384.43505976095599</v>
      </c>
      <c r="H116" s="14">
        <v>683.69067269643836</v>
      </c>
      <c r="I116" s="14">
        <v>933.91553784860525</v>
      </c>
      <c r="J116" s="14">
        <f t="shared" si="17"/>
        <v>983.55500282645539</v>
      </c>
      <c r="K116" s="14">
        <f t="shared" si="18"/>
        <v>1318.3505976095612</v>
      </c>
      <c r="L116" s="14">
        <f t="shared" si="19"/>
        <v>84.570729630939013</v>
      </c>
      <c r="M116" s="14">
        <f t="shared" si="20"/>
        <v>334.7955947831058</v>
      </c>
      <c r="N116" s="15">
        <v>114.97</v>
      </c>
      <c r="O116" s="15">
        <v>91.601200000000006</v>
      </c>
      <c r="P116" s="15">
        <f t="shared" si="16"/>
        <v>23.368799999999993</v>
      </c>
      <c r="Q116" s="2">
        <v>0.20300000000000001</v>
      </c>
      <c r="R116" s="2">
        <v>0.186</v>
      </c>
      <c r="S116" s="2">
        <v>0.61199999999999999</v>
      </c>
      <c r="T116" s="20" t="s">
        <v>123</v>
      </c>
    </row>
    <row r="117" spans="1:20" x14ac:dyDescent="0.2">
      <c r="A117">
        <v>20</v>
      </c>
      <c r="B117">
        <v>195</v>
      </c>
      <c r="C117" t="s">
        <v>21</v>
      </c>
      <c r="D117" t="s">
        <v>118</v>
      </c>
      <c r="E117">
        <v>4</v>
      </c>
      <c r="F117" s="14">
        <v>334.57756448710251</v>
      </c>
      <c r="G117" s="14">
        <v>283.38104448742735</v>
      </c>
      <c r="H117" s="14">
        <v>810.9869226154766</v>
      </c>
      <c r="I117" s="14">
        <v>1039.7152804642164</v>
      </c>
      <c r="J117" s="14">
        <f t="shared" si="17"/>
        <v>1145.5644871025791</v>
      </c>
      <c r="K117" s="14">
        <f t="shared" si="18"/>
        <v>1323.0963249516437</v>
      </c>
      <c r="L117" s="14">
        <f t="shared" si="19"/>
        <v>-51.196519999675161</v>
      </c>
      <c r="M117" s="14">
        <f t="shared" si="20"/>
        <v>177.53183784906469</v>
      </c>
      <c r="N117" s="15">
        <v>109.6832</v>
      </c>
      <c r="O117" s="15">
        <v>111.53720000000001</v>
      </c>
      <c r="P117" s="15">
        <f t="shared" si="16"/>
        <v>-1.8540000000000134</v>
      </c>
      <c r="Q117" s="2">
        <v>0.188</v>
      </c>
      <c r="R117" s="2">
        <v>0.20699999999999999</v>
      </c>
      <c r="S117" s="2">
        <v>0.60499999999999998</v>
      </c>
      <c r="T117" s="20" t="s">
        <v>123</v>
      </c>
    </row>
    <row r="118" spans="1:20" x14ac:dyDescent="0.2">
      <c r="A118">
        <v>10</v>
      </c>
      <c r="B118">
        <v>113</v>
      </c>
      <c r="C118" t="s">
        <v>17</v>
      </c>
      <c r="D118" t="s">
        <v>115</v>
      </c>
      <c r="E118">
        <v>3</v>
      </c>
      <c r="F118" s="14">
        <v>147.37006673021918</v>
      </c>
      <c r="G118" s="14">
        <v>242.3700934579438</v>
      </c>
      <c r="H118" s="14">
        <v>307.7433746425171</v>
      </c>
      <c r="I118" s="14">
        <v>325.78317757009347</v>
      </c>
      <c r="J118" s="14">
        <f t="shared" si="17"/>
        <v>455.11344137273625</v>
      </c>
      <c r="K118" s="14">
        <f t="shared" si="18"/>
        <v>568.15327102803724</v>
      </c>
      <c r="L118" s="14">
        <f t="shared" si="19"/>
        <v>95.000026727724617</v>
      </c>
      <c r="M118" s="14">
        <f t="shared" si="20"/>
        <v>113.03982965530099</v>
      </c>
      <c r="N118" s="15">
        <v>37.962692610837436</v>
      </c>
      <c r="O118" s="15">
        <v>33.283611625148275</v>
      </c>
      <c r="P118" s="15">
        <f t="shared" si="16"/>
        <v>4.6790809856891613</v>
      </c>
      <c r="Q118" s="2">
        <v>0.47499999999999998</v>
      </c>
      <c r="R118" s="2">
        <v>0.25900000000000001</v>
      </c>
      <c r="S118" s="2">
        <v>0.26500000000000001</v>
      </c>
      <c r="T118" s="20" t="s">
        <v>123</v>
      </c>
    </row>
    <row r="119" spans="1:20" x14ac:dyDescent="0.2">
      <c r="A119">
        <v>10</v>
      </c>
      <c r="B119">
        <v>178</v>
      </c>
      <c r="C119" t="s">
        <v>17</v>
      </c>
      <c r="D119" t="s">
        <v>115</v>
      </c>
      <c r="E119">
        <v>2</v>
      </c>
      <c r="F119" s="14">
        <v>202.9417484008525</v>
      </c>
      <c r="G119" s="14">
        <v>242.88603597017112</v>
      </c>
      <c r="H119" s="14">
        <v>386.0632835820893</v>
      </c>
      <c r="I119" s="14">
        <v>288.53797338792214</v>
      </c>
      <c r="J119" s="14">
        <f t="shared" si="17"/>
        <v>589.00503198294177</v>
      </c>
      <c r="K119" s="14">
        <f t="shared" si="18"/>
        <v>531.42400935809326</v>
      </c>
      <c r="L119" s="14">
        <f t="shared" si="19"/>
        <v>39.944287569318618</v>
      </c>
      <c r="M119" s="14">
        <f t="shared" si="20"/>
        <v>-57.581022624848515</v>
      </c>
      <c r="N119" s="15">
        <v>25.665676190476191</v>
      </c>
      <c r="O119" s="15">
        <v>25.354866254635354</v>
      </c>
      <c r="P119" s="15">
        <f t="shared" si="16"/>
        <v>0.31080993584083672</v>
      </c>
      <c r="Q119" s="2">
        <v>0.23799999999999999</v>
      </c>
      <c r="R119" s="2">
        <v>0.217</v>
      </c>
      <c r="S119" s="2">
        <v>0.54500000000000004</v>
      </c>
      <c r="T119" s="20" t="s">
        <v>123</v>
      </c>
    </row>
    <row r="120" spans="1:20" x14ac:dyDescent="0.2">
      <c r="A120">
        <v>10</v>
      </c>
      <c r="B120">
        <v>217</v>
      </c>
      <c r="C120" t="s">
        <v>17</v>
      </c>
      <c r="D120" t="s">
        <v>115</v>
      </c>
      <c r="E120">
        <v>1</v>
      </c>
      <c r="F120" s="14">
        <v>196.20337711069351</v>
      </c>
      <c r="G120" s="14">
        <v>223.38423746161683</v>
      </c>
      <c r="H120" s="14">
        <v>453.54258911819852</v>
      </c>
      <c r="I120" s="14">
        <v>358.34554759467738</v>
      </c>
      <c r="J120" s="14">
        <f t="shared" si="17"/>
        <v>649.74596622889203</v>
      </c>
      <c r="K120" s="14">
        <f t="shared" si="18"/>
        <v>581.72978505629419</v>
      </c>
      <c r="L120" s="14">
        <f t="shared" si="19"/>
        <v>27.180860350923325</v>
      </c>
      <c r="M120" s="14">
        <f t="shared" si="20"/>
        <v>-68.01618117259784</v>
      </c>
      <c r="N120" s="15"/>
      <c r="O120" s="15"/>
      <c r="P120" s="15"/>
      <c r="Q120" s="2">
        <v>0.17399999999999999</v>
      </c>
      <c r="R120" s="2">
        <v>0.23100000000000001</v>
      </c>
      <c r="S120" s="2">
        <v>0.59499999999999997</v>
      </c>
      <c r="T120" s="20" t="s">
        <v>123</v>
      </c>
    </row>
    <row r="121" spans="1:20" x14ac:dyDescent="0.2">
      <c r="A121">
        <v>10</v>
      </c>
      <c r="B121">
        <v>281</v>
      </c>
      <c r="C121" t="s">
        <v>17</v>
      </c>
      <c r="D121" t="s">
        <v>115</v>
      </c>
      <c r="E121">
        <v>4</v>
      </c>
      <c r="F121" s="14">
        <v>231.23987891019121</v>
      </c>
      <c r="G121" s="14">
        <v>183.51970009372045</v>
      </c>
      <c r="H121" s="14">
        <v>1000.2042381432896</v>
      </c>
      <c r="I121" s="14">
        <v>349.42605435801323</v>
      </c>
      <c r="J121" s="14">
        <f t="shared" si="17"/>
        <v>1231.4441170534808</v>
      </c>
      <c r="K121" s="14">
        <f t="shared" si="18"/>
        <v>532.94575445173371</v>
      </c>
      <c r="L121" s="14">
        <f t="shared" si="19"/>
        <v>-47.720178816470764</v>
      </c>
      <c r="M121" s="14">
        <f t="shared" si="20"/>
        <v>-698.49836260174709</v>
      </c>
      <c r="N121" s="15">
        <v>26.493428997867806</v>
      </c>
      <c r="O121" s="15">
        <v>37.010931935881629</v>
      </c>
      <c r="P121" s="15">
        <f t="shared" ref="P121:P155" si="21">N121-O121</f>
        <v>-10.517502938013823</v>
      </c>
      <c r="Q121" s="2">
        <v>0.47099999999999997</v>
      </c>
      <c r="R121" s="2">
        <v>0.26600000000000001</v>
      </c>
      <c r="S121" s="2">
        <v>0.26200000000000001</v>
      </c>
      <c r="T121" s="20" t="s">
        <v>123</v>
      </c>
    </row>
    <row r="122" spans="1:20" x14ac:dyDescent="0.2">
      <c r="A122">
        <v>20</v>
      </c>
      <c r="B122">
        <v>28</v>
      </c>
      <c r="C122" t="s">
        <v>17</v>
      </c>
      <c r="D122" t="s">
        <v>117</v>
      </c>
      <c r="E122">
        <v>1</v>
      </c>
      <c r="F122" s="14">
        <v>676.12714870395632</v>
      </c>
      <c r="G122" s="14">
        <v>828.99613899613882</v>
      </c>
      <c r="H122" s="14">
        <v>1106.2019099590721</v>
      </c>
      <c r="I122" s="14">
        <v>1123.5335907335907</v>
      </c>
      <c r="J122" s="14">
        <f t="shared" si="17"/>
        <v>1782.3290586630283</v>
      </c>
      <c r="K122" s="14">
        <f t="shared" si="18"/>
        <v>1952.5297297297295</v>
      </c>
      <c r="L122" s="14">
        <f t="shared" si="19"/>
        <v>152.8689902921825</v>
      </c>
      <c r="M122" s="14">
        <f t="shared" si="20"/>
        <v>170.20067106670126</v>
      </c>
      <c r="N122" s="15">
        <v>68.646800000000013</v>
      </c>
      <c r="O122" s="15">
        <v>75.464000000000013</v>
      </c>
      <c r="P122" s="15">
        <f t="shared" si="21"/>
        <v>-6.8171999999999997</v>
      </c>
      <c r="Q122" s="2">
        <v>0.21199999999999999</v>
      </c>
      <c r="R122" s="2">
        <v>0.19900000000000001</v>
      </c>
      <c r="S122" s="2">
        <v>0.59</v>
      </c>
      <c r="T122" s="20" t="s">
        <v>123</v>
      </c>
    </row>
    <row r="123" spans="1:20" x14ac:dyDescent="0.2">
      <c r="A123">
        <v>20</v>
      </c>
      <c r="B123">
        <v>107</v>
      </c>
      <c r="C123" t="s">
        <v>17</v>
      </c>
      <c r="D123" t="s">
        <v>117</v>
      </c>
      <c r="E123">
        <v>4</v>
      </c>
      <c r="F123" s="14">
        <v>566.56161107614844</v>
      </c>
      <c r="G123" s="14">
        <v>748.88470588235282</v>
      </c>
      <c r="H123" s="14">
        <v>1056.818628067967</v>
      </c>
      <c r="I123" s="14">
        <v>1077.76</v>
      </c>
      <c r="J123" s="14">
        <f t="shared" ref="J123:J154" si="22">F123+H123</f>
        <v>1623.3802391441154</v>
      </c>
      <c r="K123" s="14">
        <f t="shared" ref="K123:K154" si="23">G123+I123</f>
        <v>1826.6447058823528</v>
      </c>
      <c r="L123" s="14">
        <f t="shared" ref="L123:L154" si="24">G123-F123</f>
        <v>182.32309480620438</v>
      </c>
      <c r="M123" s="14">
        <f t="shared" ref="M123:M154" si="25">K123-J123</f>
        <v>203.26446673823739</v>
      </c>
      <c r="N123" s="15">
        <v>213.34399999999999</v>
      </c>
      <c r="O123" s="15">
        <v>193.64359999999999</v>
      </c>
      <c r="P123" s="15">
        <f t="shared" si="21"/>
        <v>19.700400000000002</v>
      </c>
      <c r="Q123" s="2">
        <v>0.251</v>
      </c>
      <c r="R123" s="2">
        <v>0.27400000000000002</v>
      </c>
      <c r="S123" s="2">
        <v>0.47499999999999998</v>
      </c>
      <c r="T123" s="20" t="s">
        <v>123</v>
      </c>
    </row>
    <row r="124" spans="1:20" x14ac:dyDescent="0.2">
      <c r="A124">
        <v>20</v>
      </c>
      <c r="B124">
        <v>225</v>
      </c>
      <c r="C124" t="s">
        <v>17</v>
      </c>
      <c r="D124" t="s">
        <v>117</v>
      </c>
      <c r="E124">
        <v>3</v>
      </c>
      <c r="F124" s="14">
        <v>699.86187341772143</v>
      </c>
      <c r="G124" s="14">
        <v>662.84226044226034</v>
      </c>
      <c r="H124" s="14">
        <v>922.40567088607588</v>
      </c>
      <c r="I124" s="14">
        <v>899.3056511056509</v>
      </c>
      <c r="J124" s="14">
        <f t="shared" si="22"/>
        <v>1622.2675443037974</v>
      </c>
      <c r="K124" s="14">
        <f t="shared" si="23"/>
        <v>1562.1479115479112</v>
      </c>
      <c r="L124" s="14">
        <f t="shared" si="24"/>
        <v>-37.019612975461087</v>
      </c>
      <c r="M124" s="14">
        <f t="shared" si="25"/>
        <v>-60.119632755886187</v>
      </c>
      <c r="N124" s="15">
        <v>79.711399999999998</v>
      </c>
      <c r="O124" s="15">
        <v>147.23079999999999</v>
      </c>
      <c r="P124" s="15">
        <f t="shared" si="21"/>
        <v>-67.51939999999999</v>
      </c>
      <c r="Q124" s="2">
        <v>0.25</v>
      </c>
      <c r="R124" s="2">
        <v>0.27200000000000002</v>
      </c>
      <c r="S124" s="2">
        <v>0.47799999999999998</v>
      </c>
      <c r="T124" s="20" t="s">
        <v>123</v>
      </c>
    </row>
    <row r="125" spans="1:20" x14ac:dyDescent="0.2">
      <c r="A125">
        <v>20</v>
      </c>
      <c r="B125">
        <v>260</v>
      </c>
      <c r="C125" t="s">
        <v>17</v>
      </c>
      <c r="D125" t="s">
        <v>117</v>
      </c>
      <c r="E125">
        <v>2</v>
      </c>
      <c r="F125" s="14">
        <v>644.4019878520154</v>
      </c>
      <c r="G125" s="14">
        <v>660.2430750457595</v>
      </c>
      <c r="H125" s="14">
        <v>913.87918277194933</v>
      </c>
      <c r="I125" s="14">
        <v>980.19280048810253</v>
      </c>
      <c r="J125" s="14">
        <f t="shared" si="22"/>
        <v>1558.2811706239647</v>
      </c>
      <c r="K125" s="14">
        <f t="shared" si="23"/>
        <v>1640.4358755338621</v>
      </c>
      <c r="L125" s="14">
        <f t="shared" si="24"/>
        <v>15.841087193744102</v>
      </c>
      <c r="M125" s="14">
        <f t="shared" si="25"/>
        <v>82.154704909897418</v>
      </c>
      <c r="N125" s="15">
        <v>103.9774</v>
      </c>
      <c r="O125" s="15">
        <v>111.73300000000002</v>
      </c>
      <c r="P125" s="15">
        <f t="shared" si="21"/>
        <v>-7.7556000000000154</v>
      </c>
      <c r="Q125" s="2">
        <v>0.34100000000000003</v>
      </c>
      <c r="R125" s="2">
        <v>0.23300000000000001</v>
      </c>
      <c r="S125" s="2">
        <v>0.42599999999999999</v>
      </c>
      <c r="T125" s="20" t="s">
        <v>123</v>
      </c>
    </row>
    <row r="126" spans="1:20" x14ac:dyDescent="0.2">
      <c r="A126">
        <v>20</v>
      </c>
      <c r="B126">
        <v>34</v>
      </c>
      <c r="C126" t="s">
        <v>17</v>
      </c>
      <c r="D126" t="s">
        <v>118</v>
      </c>
      <c r="E126">
        <v>2</v>
      </c>
      <c r="F126" s="14">
        <v>350.21832669322691</v>
      </c>
      <c r="G126" s="14">
        <v>374.29797570850207</v>
      </c>
      <c r="H126" s="14">
        <v>1367.0591235059758</v>
      </c>
      <c r="I126" s="14">
        <v>1309.0202429149795</v>
      </c>
      <c r="J126" s="14">
        <f t="shared" si="22"/>
        <v>1717.2774501992026</v>
      </c>
      <c r="K126" s="14">
        <f t="shared" si="23"/>
        <v>1683.3182186234815</v>
      </c>
      <c r="L126" s="14">
        <f t="shared" si="24"/>
        <v>24.079649015275152</v>
      </c>
      <c r="M126" s="14">
        <f t="shared" si="25"/>
        <v>-33.959231575721105</v>
      </c>
      <c r="N126" s="15">
        <v>213.10640000000001</v>
      </c>
      <c r="O126" s="15">
        <v>170.32760000000002</v>
      </c>
      <c r="P126" s="15">
        <f t="shared" si="21"/>
        <v>42.77879999999999</v>
      </c>
      <c r="Q126" s="2">
        <v>0.28299999999999997</v>
      </c>
      <c r="R126" s="2">
        <v>0.25</v>
      </c>
      <c r="S126" s="2">
        <v>0.46700000000000003</v>
      </c>
      <c r="T126" s="20" t="s">
        <v>123</v>
      </c>
    </row>
    <row r="127" spans="1:20" x14ac:dyDescent="0.2">
      <c r="A127">
        <v>20</v>
      </c>
      <c r="B127">
        <v>108</v>
      </c>
      <c r="C127" t="s">
        <v>17</v>
      </c>
      <c r="D127" t="s">
        <v>118</v>
      </c>
      <c r="E127">
        <v>4</v>
      </c>
      <c r="F127" s="14">
        <v>614.29634551495008</v>
      </c>
      <c r="G127" s="14">
        <v>635.07146529562965</v>
      </c>
      <c r="H127" s="14">
        <v>745.21196013289034</v>
      </c>
      <c r="I127" s="14">
        <v>884.42467866323886</v>
      </c>
      <c r="J127" s="14">
        <f t="shared" si="22"/>
        <v>1359.5083056478404</v>
      </c>
      <c r="K127" s="14">
        <f t="shared" si="23"/>
        <v>1519.4961439588685</v>
      </c>
      <c r="L127" s="14">
        <f t="shared" si="24"/>
        <v>20.775119780679574</v>
      </c>
      <c r="M127" s="14">
        <f t="shared" si="25"/>
        <v>159.9878383110281</v>
      </c>
      <c r="N127" s="15">
        <v>114.30439999999999</v>
      </c>
      <c r="O127" s="15">
        <v>109.72879999999998</v>
      </c>
      <c r="P127" s="15">
        <f t="shared" si="21"/>
        <v>4.5756000000000085</v>
      </c>
      <c r="Q127" s="2">
        <v>0.247</v>
      </c>
      <c r="R127" s="2">
        <v>0.23699999999999999</v>
      </c>
      <c r="S127" s="2">
        <v>0.51500000000000001</v>
      </c>
      <c r="T127" s="20" t="s">
        <v>123</v>
      </c>
    </row>
    <row r="128" spans="1:20" x14ac:dyDescent="0.2">
      <c r="A128">
        <v>20</v>
      </c>
      <c r="B128">
        <v>127</v>
      </c>
      <c r="C128" t="s">
        <v>17</v>
      </c>
      <c r="D128" t="s">
        <v>118</v>
      </c>
      <c r="E128">
        <v>1</v>
      </c>
      <c r="F128" s="14">
        <v>374.5336747759282</v>
      </c>
      <c r="G128" s="14">
        <v>311.58012253233488</v>
      </c>
      <c r="H128" s="14">
        <v>1022.6903969270165</v>
      </c>
      <c r="I128" s="14">
        <v>1054.4201497617426</v>
      </c>
      <c r="J128" s="14">
        <f t="shared" si="22"/>
        <v>1397.2240717029447</v>
      </c>
      <c r="K128" s="14">
        <f t="shared" si="23"/>
        <v>1366.0002722940774</v>
      </c>
      <c r="L128" s="14">
        <f t="shared" si="24"/>
        <v>-62.953552243593322</v>
      </c>
      <c r="M128" s="14">
        <f t="shared" si="25"/>
        <v>-31.223799408867308</v>
      </c>
      <c r="N128" s="15">
        <v>134.88420000000002</v>
      </c>
      <c r="O128" s="15">
        <v>118.04819999999999</v>
      </c>
      <c r="P128" s="15">
        <f t="shared" si="21"/>
        <v>16.836000000000027</v>
      </c>
      <c r="Q128" s="2">
        <v>0.27400000000000002</v>
      </c>
      <c r="R128" s="2">
        <v>0.22800000000000001</v>
      </c>
      <c r="S128" s="2">
        <v>0.498</v>
      </c>
      <c r="T128" s="20" t="s">
        <v>123</v>
      </c>
    </row>
    <row r="129" spans="1:20" x14ac:dyDescent="0.2">
      <c r="A129">
        <v>20</v>
      </c>
      <c r="B129">
        <v>285</v>
      </c>
      <c r="C129" t="s">
        <v>17</v>
      </c>
      <c r="D129" t="s">
        <v>118</v>
      </c>
      <c r="E129">
        <v>3</v>
      </c>
      <c r="F129" s="14">
        <v>646.58059701492539</v>
      </c>
      <c r="G129" s="14">
        <v>622.44328552803108</v>
      </c>
      <c r="H129" s="14">
        <v>846.39850746268667</v>
      </c>
      <c r="I129" s="14">
        <v>1051.237548891786</v>
      </c>
      <c r="J129" s="14">
        <f t="shared" si="22"/>
        <v>1492.9791044776121</v>
      </c>
      <c r="K129" s="14">
        <f t="shared" si="23"/>
        <v>1673.6808344198171</v>
      </c>
      <c r="L129" s="14">
        <f t="shared" si="24"/>
        <v>-24.137311486894305</v>
      </c>
      <c r="M129" s="14">
        <f t="shared" si="25"/>
        <v>180.70172994220502</v>
      </c>
      <c r="N129" s="15">
        <v>174.52180000000001</v>
      </c>
      <c r="O129" s="15">
        <v>180.02619999999999</v>
      </c>
      <c r="P129" s="15">
        <f t="shared" si="21"/>
        <v>-5.5043999999999755</v>
      </c>
      <c r="Q129" s="2">
        <v>0.26800000000000002</v>
      </c>
      <c r="R129" s="2">
        <v>0.26600000000000001</v>
      </c>
      <c r="S129" s="2">
        <v>0.46600000000000003</v>
      </c>
      <c r="T129" s="20" t="s">
        <v>123</v>
      </c>
    </row>
    <row r="130" spans="1:20" x14ac:dyDescent="0.2">
      <c r="A130">
        <v>20</v>
      </c>
      <c r="B130">
        <v>58</v>
      </c>
      <c r="C130" t="s">
        <v>10</v>
      </c>
      <c r="D130" t="s">
        <v>115</v>
      </c>
      <c r="E130">
        <v>3</v>
      </c>
      <c r="F130" s="14">
        <v>47.782463054187232</v>
      </c>
      <c r="G130" s="14">
        <v>74.87163094805662</v>
      </c>
      <c r="H130" s="14">
        <v>160.27034482758634</v>
      </c>
      <c r="I130" s="14">
        <v>158.55168906647307</v>
      </c>
      <c r="J130" s="14">
        <f t="shared" si="22"/>
        <v>208.05280788177356</v>
      </c>
      <c r="K130" s="14">
        <f t="shared" si="23"/>
        <v>233.42332001452968</v>
      </c>
      <c r="L130" s="14">
        <f t="shared" si="24"/>
        <v>27.089167893869387</v>
      </c>
      <c r="M130" s="14">
        <f t="shared" si="25"/>
        <v>25.370512132756119</v>
      </c>
      <c r="N130" s="15">
        <v>9.0763999999999996</v>
      </c>
      <c r="O130" s="15">
        <v>6.2109999999999976</v>
      </c>
      <c r="P130" s="15">
        <f t="shared" si="21"/>
        <v>2.8654000000000019</v>
      </c>
      <c r="Q130" s="2">
        <v>6.6000000000000003E-2</v>
      </c>
      <c r="R130" s="2">
        <v>0.115</v>
      </c>
      <c r="S130" s="2">
        <v>0.81899999999999995</v>
      </c>
      <c r="T130" s="18" t="s">
        <v>122</v>
      </c>
    </row>
    <row r="131" spans="1:20" x14ac:dyDescent="0.2">
      <c r="A131">
        <v>20</v>
      </c>
      <c r="B131">
        <v>95</v>
      </c>
      <c r="C131" t="s">
        <v>10</v>
      </c>
      <c r="D131" t="s">
        <v>115</v>
      </c>
      <c r="E131">
        <v>1</v>
      </c>
      <c r="F131" s="14">
        <v>76.844398766700934</v>
      </c>
      <c r="G131" s="14">
        <v>121.77940102264422</v>
      </c>
      <c r="H131" s="14">
        <v>234.68694758478935</v>
      </c>
      <c r="I131" s="14">
        <v>224.73834915997082</v>
      </c>
      <c r="J131" s="14">
        <f t="shared" si="22"/>
        <v>311.5313463514903</v>
      </c>
      <c r="K131" s="14">
        <f t="shared" si="23"/>
        <v>346.51775018261503</v>
      </c>
      <c r="L131" s="14">
        <f t="shared" si="24"/>
        <v>44.935002255943289</v>
      </c>
      <c r="M131" s="14">
        <f t="shared" si="25"/>
        <v>34.986403831124733</v>
      </c>
      <c r="N131" s="15">
        <v>11.499000000000002</v>
      </c>
      <c r="O131" s="15">
        <v>12.215599999999998</v>
      </c>
      <c r="P131" s="15">
        <f t="shared" si="21"/>
        <v>-0.71659999999999613</v>
      </c>
      <c r="Q131" s="2">
        <v>7.1999999999999995E-2</v>
      </c>
      <c r="R131" s="2">
        <v>0.156</v>
      </c>
      <c r="S131" s="2">
        <v>0.77200000000000002</v>
      </c>
      <c r="T131" s="18" t="s">
        <v>122</v>
      </c>
    </row>
    <row r="132" spans="1:20" x14ac:dyDescent="0.2">
      <c r="A132">
        <v>20</v>
      </c>
      <c r="B132">
        <v>133</v>
      </c>
      <c r="C132" t="s">
        <v>10</v>
      </c>
      <c r="D132" t="s">
        <v>115</v>
      </c>
      <c r="E132">
        <v>4</v>
      </c>
      <c r="F132" s="14">
        <v>57.052910421749637</v>
      </c>
      <c r="G132" s="14">
        <v>108.05614556256951</v>
      </c>
      <c r="H132" s="14">
        <v>228.21164168699895</v>
      </c>
      <c r="I132" s="14">
        <v>166.58655774229484</v>
      </c>
      <c r="J132" s="14">
        <f t="shared" si="22"/>
        <v>285.2645521087486</v>
      </c>
      <c r="K132" s="14">
        <f t="shared" si="23"/>
        <v>274.64270330486437</v>
      </c>
      <c r="L132" s="14">
        <f t="shared" si="24"/>
        <v>51.003235140819875</v>
      </c>
      <c r="M132" s="14">
        <f t="shared" si="25"/>
        <v>-10.621848803884234</v>
      </c>
      <c r="N132" s="15">
        <v>8.7062000000000008</v>
      </c>
      <c r="O132" s="15">
        <v>19.3048</v>
      </c>
      <c r="P132" s="15">
        <f t="shared" si="21"/>
        <v>-10.598599999999999</v>
      </c>
      <c r="Q132" s="2">
        <v>0.09</v>
      </c>
      <c r="R132" s="2">
        <v>0.17100000000000001</v>
      </c>
      <c r="S132" s="2">
        <v>0.73899999999999999</v>
      </c>
      <c r="T132" s="18" t="s">
        <v>122</v>
      </c>
    </row>
    <row r="133" spans="1:20" x14ac:dyDescent="0.2">
      <c r="A133">
        <v>20</v>
      </c>
      <c r="B133">
        <v>264</v>
      </c>
      <c r="C133" t="s">
        <v>10</v>
      </c>
      <c r="D133" t="s">
        <v>115</v>
      </c>
      <c r="E133">
        <v>2</v>
      </c>
      <c r="F133" s="14">
        <v>70.680879413724114</v>
      </c>
      <c r="G133" s="14">
        <v>103.00679643681947</v>
      </c>
      <c r="H133" s="14">
        <v>111.06995336442368</v>
      </c>
      <c r="I133" s="14">
        <v>179.01181128340482</v>
      </c>
      <c r="J133" s="14">
        <f t="shared" si="22"/>
        <v>181.75083277814781</v>
      </c>
      <c r="K133" s="14">
        <f t="shared" si="23"/>
        <v>282.01860772022428</v>
      </c>
      <c r="L133" s="14">
        <f t="shared" si="24"/>
        <v>32.325917023095357</v>
      </c>
      <c r="M133" s="14">
        <f t="shared" si="25"/>
        <v>100.26777494207647</v>
      </c>
      <c r="N133" s="15">
        <v>91.631729729729727</v>
      </c>
      <c r="O133" s="15">
        <v>15.333529729729729</v>
      </c>
      <c r="P133" s="15">
        <f t="shared" si="21"/>
        <v>76.298199999999994</v>
      </c>
      <c r="Q133" s="2">
        <v>0.126</v>
      </c>
      <c r="R133" s="2">
        <v>0.158</v>
      </c>
      <c r="S133" s="2">
        <v>0.71599999999999997</v>
      </c>
      <c r="T133" s="18" t="s">
        <v>122</v>
      </c>
    </row>
    <row r="134" spans="1:20" x14ac:dyDescent="0.2">
      <c r="A134">
        <v>20</v>
      </c>
      <c r="B134">
        <v>104</v>
      </c>
      <c r="C134" t="s">
        <v>10</v>
      </c>
      <c r="D134" t="s">
        <v>117</v>
      </c>
      <c r="E134">
        <v>1</v>
      </c>
      <c r="F134" s="14">
        <v>96.924552721735807</v>
      </c>
      <c r="G134" s="14">
        <v>101.21081994928137</v>
      </c>
      <c r="H134" s="14">
        <v>373.85184621240961</v>
      </c>
      <c r="I134" s="14">
        <v>254.94877430262048</v>
      </c>
      <c r="J134" s="14">
        <f t="shared" si="22"/>
        <v>470.77639893414539</v>
      </c>
      <c r="K134" s="14">
        <f t="shared" si="23"/>
        <v>356.15959425190186</v>
      </c>
      <c r="L134" s="14">
        <f t="shared" si="24"/>
        <v>4.2862672275455651</v>
      </c>
      <c r="M134" s="14">
        <f t="shared" si="25"/>
        <v>-114.61680468224353</v>
      </c>
      <c r="N134" s="15">
        <v>29.026799999999994</v>
      </c>
      <c r="O134" s="15">
        <v>23.846600000000002</v>
      </c>
      <c r="P134" s="15">
        <f t="shared" si="21"/>
        <v>5.1801999999999921</v>
      </c>
      <c r="Q134" s="2">
        <v>9.0999999999999998E-2</v>
      </c>
      <c r="R134" s="2">
        <v>4.4999999999999998E-2</v>
      </c>
      <c r="S134" s="2">
        <v>0.86399999999999999</v>
      </c>
      <c r="T134" s="18" t="s">
        <v>122</v>
      </c>
    </row>
    <row r="135" spans="1:20" x14ac:dyDescent="0.2">
      <c r="A135">
        <v>20</v>
      </c>
      <c r="B135">
        <v>220</v>
      </c>
      <c r="C135" t="s">
        <v>10</v>
      </c>
      <c r="D135" t="s">
        <v>117</v>
      </c>
      <c r="E135">
        <v>4</v>
      </c>
      <c r="F135" s="14">
        <v>334.01289198606264</v>
      </c>
      <c r="G135" s="14">
        <v>368.28735806207419</v>
      </c>
      <c r="H135" s="14">
        <v>629.73972125435546</v>
      </c>
      <c r="I135" s="14">
        <v>561.03588190764572</v>
      </c>
      <c r="J135" s="14">
        <f t="shared" si="22"/>
        <v>963.7526132404181</v>
      </c>
      <c r="K135" s="14">
        <f t="shared" si="23"/>
        <v>929.32323996971991</v>
      </c>
      <c r="L135" s="14">
        <f t="shared" si="24"/>
        <v>34.274466076011549</v>
      </c>
      <c r="M135" s="14">
        <f t="shared" si="25"/>
        <v>-34.429373270698193</v>
      </c>
      <c r="N135" s="15">
        <v>45.0702</v>
      </c>
      <c r="O135" s="15">
        <v>51.672800000000002</v>
      </c>
      <c r="P135" s="15">
        <f t="shared" si="21"/>
        <v>-6.6026000000000025</v>
      </c>
      <c r="Q135" s="2">
        <v>5.2999999999999999E-2</v>
      </c>
      <c r="R135" s="2">
        <v>0.189</v>
      </c>
      <c r="S135" s="2">
        <v>0.75700000000000001</v>
      </c>
      <c r="T135" s="18" t="s">
        <v>122</v>
      </c>
    </row>
    <row r="136" spans="1:20" x14ac:dyDescent="0.2">
      <c r="A136">
        <v>20</v>
      </c>
      <c r="B136">
        <v>282</v>
      </c>
      <c r="C136" t="s">
        <v>10</v>
      </c>
      <c r="D136" t="s">
        <v>117</v>
      </c>
      <c r="E136">
        <v>3</v>
      </c>
      <c r="F136" s="14">
        <v>282.44351315202846</v>
      </c>
      <c r="G136" s="14">
        <v>318.3781212841854</v>
      </c>
      <c r="H136" s="14">
        <v>594.61792242532329</v>
      </c>
      <c r="I136" s="14">
        <v>610.32485136741968</v>
      </c>
      <c r="J136" s="14">
        <f t="shared" si="22"/>
        <v>877.06143557735174</v>
      </c>
      <c r="K136" s="14">
        <f t="shared" si="23"/>
        <v>928.70297265160502</v>
      </c>
      <c r="L136" s="14">
        <f t="shared" si="24"/>
        <v>35.934608132156939</v>
      </c>
      <c r="M136" s="14">
        <f t="shared" si="25"/>
        <v>51.641537074253279</v>
      </c>
      <c r="N136" s="15">
        <v>-1.8567999999999998</v>
      </c>
      <c r="O136" s="15">
        <v>75.290200000000013</v>
      </c>
      <c r="P136" s="15">
        <f t="shared" si="21"/>
        <v>-77.14700000000002</v>
      </c>
      <c r="Q136" s="2">
        <v>9.0999999999999998E-2</v>
      </c>
      <c r="R136" s="2">
        <v>0.187</v>
      </c>
      <c r="S136" s="2">
        <v>0.72199999999999998</v>
      </c>
      <c r="T136" s="18" t="s">
        <v>122</v>
      </c>
    </row>
    <row r="137" spans="1:20" x14ac:dyDescent="0.2">
      <c r="A137">
        <v>20</v>
      </c>
      <c r="B137">
        <v>300</v>
      </c>
      <c r="C137" t="s">
        <v>10</v>
      </c>
      <c r="D137" t="s">
        <v>117</v>
      </c>
      <c r="E137">
        <v>2</v>
      </c>
      <c r="F137" s="14">
        <v>400.26850068775792</v>
      </c>
      <c r="G137" s="14">
        <v>570.24071856287412</v>
      </c>
      <c r="H137" s="14">
        <v>617.08060522696019</v>
      </c>
      <c r="I137" s="14">
        <v>990.7365269461078</v>
      </c>
      <c r="J137" s="14">
        <f t="shared" si="22"/>
        <v>1017.3491059147182</v>
      </c>
      <c r="K137" s="14">
        <f t="shared" si="23"/>
        <v>1560.9772455089819</v>
      </c>
      <c r="L137" s="14">
        <f t="shared" si="24"/>
        <v>169.9722178751162</v>
      </c>
      <c r="M137" s="14">
        <f t="shared" si="25"/>
        <v>543.62813959426376</v>
      </c>
      <c r="N137" s="15">
        <v>123.1238</v>
      </c>
      <c r="O137" s="15">
        <v>98.741199999999978</v>
      </c>
      <c r="P137" s="15">
        <f t="shared" si="21"/>
        <v>24.382600000000025</v>
      </c>
      <c r="Q137" s="2">
        <v>0.111</v>
      </c>
      <c r="R137" s="2">
        <v>0.19800000000000001</v>
      </c>
      <c r="S137" s="2">
        <v>0.69099999999999995</v>
      </c>
      <c r="T137" s="18" t="s">
        <v>122</v>
      </c>
    </row>
    <row r="138" spans="1:20" x14ac:dyDescent="0.2">
      <c r="A138">
        <v>20</v>
      </c>
      <c r="B138">
        <v>33</v>
      </c>
      <c r="C138" t="s">
        <v>10</v>
      </c>
      <c r="D138" t="s">
        <v>118</v>
      </c>
      <c r="E138">
        <v>3</v>
      </c>
      <c r="F138" s="14">
        <v>255.4134624697337</v>
      </c>
      <c r="G138" s="14">
        <v>284.21689517912415</v>
      </c>
      <c r="H138" s="14">
        <v>546.05636803874108</v>
      </c>
      <c r="I138" s="14">
        <v>580.49960194604159</v>
      </c>
      <c r="J138" s="14">
        <f t="shared" si="22"/>
        <v>801.46983050847484</v>
      </c>
      <c r="K138" s="14">
        <f t="shared" si="23"/>
        <v>864.71649712516569</v>
      </c>
      <c r="L138" s="14">
        <f t="shared" si="24"/>
        <v>28.803432709390449</v>
      </c>
      <c r="M138" s="14">
        <f t="shared" si="25"/>
        <v>63.246666616690845</v>
      </c>
      <c r="N138" s="15">
        <v>37.542999999999999</v>
      </c>
      <c r="O138" s="15">
        <v>40.7254</v>
      </c>
      <c r="P138" s="15">
        <f t="shared" si="21"/>
        <v>-3.1824000000000012</v>
      </c>
      <c r="Q138" s="2">
        <v>6.7000000000000004E-2</v>
      </c>
      <c r="R138" s="2">
        <v>0.252</v>
      </c>
      <c r="S138" s="2">
        <v>0.68100000000000005</v>
      </c>
      <c r="T138" s="18" t="s">
        <v>122</v>
      </c>
    </row>
    <row r="139" spans="1:20" x14ac:dyDescent="0.2">
      <c r="A139">
        <v>20</v>
      </c>
      <c r="B139">
        <v>41</v>
      </c>
      <c r="C139" t="s">
        <v>10</v>
      </c>
      <c r="D139" t="s">
        <v>118</v>
      </c>
      <c r="E139">
        <v>1</v>
      </c>
      <c r="F139" s="14">
        <v>43.26851704996028</v>
      </c>
      <c r="G139" s="14">
        <v>137.99626459143968</v>
      </c>
      <c r="H139" s="14">
        <v>236.77494052339421</v>
      </c>
      <c r="I139" s="14">
        <v>393.93805447470828</v>
      </c>
      <c r="J139" s="14">
        <f t="shared" si="22"/>
        <v>280.04345757335449</v>
      </c>
      <c r="K139" s="14">
        <f t="shared" si="23"/>
        <v>531.93431906614796</v>
      </c>
      <c r="L139" s="14">
        <f t="shared" si="24"/>
        <v>94.727747541479403</v>
      </c>
      <c r="M139" s="14">
        <f t="shared" si="25"/>
        <v>251.89086149279348</v>
      </c>
      <c r="N139" s="15">
        <v>8.9802</v>
      </c>
      <c r="O139" s="15">
        <v>7.0639999999999965</v>
      </c>
      <c r="P139" s="15">
        <f t="shared" si="21"/>
        <v>1.9162000000000035</v>
      </c>
      <c r="Q139" s="2">
        <v>8.7999999999999995E-2</v>
      </c>
      <c r="R139" s="2">
        <v>0.14399999999999999</v>
      </c>
      <c r="S139" s="2">
        <v>0.76900000000000002</v>
      </c>
      <c r="T139" s="18" t="s">
        <v>122</v>
      </c>
    </row>
    <row r="140" spans="1:20" x14ac:dyDescent="0.2">
      <c r="A140">
        <v>20</v>
      </c>
      <c r="B140">
        <v>110</v>
      </c>
      <c r="C140" t="s">
        <v>10</v>
      </c>
      <c r="D140" t="s">
        <v>118</v>
      </c>
      <c r="E140">
        <v>2</v>
      </c>
      <c r="F140" s="14">
        <v>131.45835789473676</v>
      </c>
      <c r="G140" s="14">
        <v>121.6535117056856</v>
      </c>
      <c r="H140" s="14">
        <v>422.45355789473689</v>
      </c>
      <c r="I140" s="14">
        <v>540.19952221691358</v>
      </c>
      <c r="J140" s="14">
        <f t="shared" si="22"/>
        <v>553.9119157894736</v>
      </c>
      <c r="K140" s="14">
        <f t="shared" si="23"/>
        <v>661.85303392259914</v>
      </c>
      <c r="L140" s="14">
        <f t="shared" si="24"/>
        <v>-9.8048461890511618</v>
      </c>
      <c r="M140" s="14">
        <f t="shared" si="25"/>
        <v>107.94111813312554</v>
      </c>
      <c r="N140" s="15">
        <v>18.794199999999996</v>
      </c>
      <c r="O140" s="15">
        <v>34.461599999999997</v>
      </c>
      <c r="P140" s="15">
        <f t="shared" si="21"/>
        <v>-15.667400000000001</v>
      </c>
      <c r="Q140" s="2">
        <v>0.123</v>
      </c>
      <c r="R140" s="2">
        <v>0.19</v>
      </c>
      <c r="S140" s="2">
        <v>0.68700000000000006</v>
      </c>
      <c r="T140" s="18" t="s">
        <v>122</v>
      </c>
    </row>
    <row r="141" spans="1:20" x14ac:dyDescent="0.2">
      <c r="A141">
        <v>20</v>
      </c>
      <c r="B141">
        <v>143</v>
      </c>
      <c r="C141" t="s">
        <v>10</v>
      </c>
      <c r="D141" t="s">
        <v>118</v>
      </c>
      <c r="E141">
        <v>4</v>
      </c>
      <c r="F141" s="14">
        <v>434.58064516129025</v>
      </c>
      <c r="G141" s="14">
        <v>426.28979827089324</v>
      </c>
      <c r="H141" s="14">
        <v>773.19139784946242</v>
      </c>
      <c r="I141" s="14">
        <v>793.17855907780972</v>
      </c>
      <c r="J141" s="14">
        <f t="shared" si="22"/>
        <v>1207.7720430107527</v>
      </c>
      <c r="K141" s="14">
        <f t="shared" si="23"/>
        <v>1219.468357348703</v>
      </c>
      <c r="L141" s="14">
        <f t="shared" si="24"/>
        <v>-8.2908468903970061</v>
      </c>
      <c r="M141" s="14">
        <f t="shared" si="25"/>
        <v>11.696314337950298</v>
      </c>
      <c r="N141" s="15">
        <v>106.23919999999998</v>
      </c>
      <c r="O141" s="15">
        <v>93.922600000000017</v>
      </c>
      <c r="P141" s="15">
        <f t="shared" si="21"/>
        <v>12.316599999999966</v>
      </c>
      <c r="Q141" s="2">
        <v>0.20200000000000001</v>
      </c>
      <c r="R141" s="2">
        <v>0.378</v>
      </c>
      <c r="S141" s="2">
        <v>0.42099999999999999</v>
      </c>
      <c r="T141" s="18" t="s">
        <v>122</v>
      </c>
    </row>
    <row r="142" spans="1:20" x14ac:dyDescent="0.2">
      <c r="A142">
        <v>10</v>
      </c>
      <c r="B142">
        <v>10</v>
      </c>
      <c r="C142" t="s">
        <v>9</v>
      </c>
      <c r="D142" t="s">
        <v>115</v>
      </c>
      <c r="E142">
        <v>1</v>
      </c>
      <c r="F142" s="14">
        <v>73.496510161176928</v>
      </c>
      <c r="G142" s="14">
        <v>137.31803646563796</v>
      </c>
      <c r="H142" s="14">
        <v>176.30665732305539</v>
      </c>
      <c r="I142" s="14">
        <v>180.68162692847116</v>
      </c>
      <c r="J142" s="14">
        <f t="shared" si="22"/>
        <v>249.80316748423232</v>
      </c>
      <c r="K142" s="14">
        <f t="shared" si="23"/>
        <v>317.99966339410912</v>
      </c>
      <c r="L142" s="14">
        <f t="shared" si="24"/>
        <v>63.821526304461031</v>
      </c>
      <c r="M142" s="14">
        <f t="shared" si="25"/>
        <v>68.196495909876802</v>
      </c>
      <c r="N142" s="15">
        <v>13.6934</v>
      </c>
      <c r="O142" s="15">
        <v>15.92602437562438</v>
      </c>
      <c r="P142" s="15">
        <f t="shared" si="21"/>
        <v>-2.2326243756243791</v>
      </c>
      <c r="Q142" s="2">
        <v>9.0999999999999998E-2</v>
      </c>
      <c r="R142" s="2">
        <v>0.24399999999999999</v>
      </c>
      <c r="S142" s="2">
        <v>0.66600000000000004</v>
      </c>
      <c r="T142" s="21" t="s">
        <v>121</v>
      </c>
    </row>
    <row r="143" spans="1:20" x14ac:dyDescent="0.2">
      <c r="A143">
        <v>10</v>
      </c>
      <c r="B143">
        <v>64</v>
      </c>
      <c r="C143" t="s">
        <v>9</v>
      </c>
      <c r="D143" t="s">
        <v>115</v>
      </c>
      <c r="E143">
        <v>3</v>
      </c>
      <c r="F143" s="14">
        <v>171.15637772397073</v>
      </c>
      <c r="G143" s="14">
        <v>73.389907235621507</v>
      </c>
      <c r="H143" s="14">
        <v>106.86264406779651</v>
      </c>
      <c r="I143" s="14">
        <v>143.68675324675331</v>
      </c>
      <c r="J143" s="14">
        <f t="shared" si="22"/>
        <v>278.01902179176727</v>
      </c>
      <c r="K143" s="14">
        <f t="shared" si="23"/>
        <v>217.07666048237482</v>
      </c>
      <c r="L143" s="14">
        <f t="shared" si="24"/>
        <v>-97.766470488349228</v>
      </c>
      <c r="M143" s="14">
        <f t="shared" si="25"/>
        <v>-60.942361309392453</v>
      </c>
      <c r="N143" s="15">
        <v>2.888399999999999</v>
      </c>
      <c r="O143" s="15">
        <v>1.0613816367265478</v>
      </c>
      <c r="P143" s="15">
        <f t="shared" si="21"/>
        <v>1.8270183632734511</v>
      </c>
      <c r="Q143" s="2">
        <v>0.108</v>
      </c>
      <c r="R143" s="2">
        <v>0.20799999999999999</v>
      </c>
      <c r="S143" s="2">
        <v>0.68500000000000005</v>
      </c>
      <c r="T143" s="21" t="s">
        <v>121</v>
      </c>
    </row>
    <row r="144" spans="1:20" x14ac:dyDescent="0.2">
      <c r="A144">
        <v>10</v>
      </c>
      <c r="B144">
        <v>70</v>
      </c>
      <c r="C144" t="s">
        <v>9</v>
      </c>
      <c r="D144" t="s">
        <v>115</v>
      </c>
      <c r="E144">
        <v>4</v>
      </c>
      <c r="F144" s="14">
        <v>151.42150472129148</v>
      </c>
      <c r="G144" s="14">
        <v>68.917798594847568</v>
      </c>
      <c r="H144" s="14">
        <v>213.28272921108743</v>
      </c>
      <c r="I144" s="14">
        <v>221.54262295081972</v>
      </c>
      <c r="J144" s="14">
        <f t="shared" si="22"/>
        <v>364.70423393237888</v>
      </c>
      <c r="K144" s="14">
        <f t="shared" si="23"/>
        <v>290.46042154566726</v>
      </c>
      <c r="L144" s="14">
        <f t="shared" si="24"/>
        <v>-82.503706126443916</v>
      </c>
      <c r="M144" s="14">
        <f t="shared" si="25"/>
        <v>-74.243812386711625</v>
      </c>
      <c r="N144" s="15">
        <v>4.7300307692307708</v>
      </c>
      <c r="O144" s="15">
        <v>6.753607192807193</v>
      </c>
      <c r="P144" s="15">
        <f t="shared" si="21"/>
        <v>-2.0235764235764222</v>
      </c>
      <c r="Q144" s="2">
        <v>8.4000000000000005E-2</v>
      </c>
      <c r="R144" s="2">
        <v>0.16900000000000001</v>
      </c>
      <c r="S144" s="2">
        <v>0.747</v>
      </c>
      <c r="T144" s="21" t="s">
        <v>121</v>
      </c>
    </row>
    <row r="145" spans="1:20" x14ac:dyDescent="0.2">
      <c r="A145">
        <v>10</v>
      </c>
      <c r="B145">
        <v>302</v>
      </c>
      <c r="C145" t="s">
        <v>9</v>
      </c>
      <c r="D145" t="s">
        <v>115</v>
      </c>
      <c r="E145">
        <v>2</v>
      </c>
      <c r="F145" s="14">
        <v>116.46539079620118</v>
      </c>
      <c r="G145" s="14">
        <v>108.24394881169989</v>
      </c>
      <c r="H145" s="14">
        <v>405.19327976625277</v>
      </c>
      <c r="I145" s="14">
        <v>144.07897623400353</v>
      </c>
      <c r="J145" s="14">
        <f t="shared" si="22"/>
        <v>521.65867056245395</v>
      </c>
      <c r="K145" s="14">
        <f t="shared" si="23"/>
        <v>252.32292504570341</v>
      </c>
      <c r="L145" s="14">
        <f t="shared" si="24"/>
        <v>-8.2214419845012827</v>
      </c>
      <c r="M145" s="14">
        <f t="shared" si="25"/>
        <v>-269.33574551675053</v>
      </c>
      <c r="N145" s="15">
        <v>10.268857342657347</v>
      </c>
      <c r="O145" s="15">
        <v>13.326999200799202</v>
      </c>
      <c r="P145" s="15">
        <f t="shared" si="21"/>
        <v>-3.0581418581418554</v>
      </c>
      <c r="Q145" s="2">
        <v>6.2E-2</v>
      </c>
      <c r="R145" s="2">
        <v>0.17399999999999999</v>
      </c>
      <c r="S145" s="2">
        <v>0.76400000000000001</v>
      </c>
      <c r="T145" s="21" t="s">
        <v>121</v>
      </c>
    </row>
    <row r="146" spans="1:20" x14ac:dyDescent="0.2">
      <c r="A146">
        <v>20</v>
      </c>
      <c r="B146">
        <v>69</v>
      </c>
      <c r="C146" t="s">
        <v>9</v>
      </c>
      <c r="D146" t="s">
        <v>117</v>
      </c>
      <c r="E146">
        <v>3</v>
      </c>
      <c r="F146" s="14">
        <v>166.09315068493154</v>
      </c>
      <c r="G146" s="14">
        <v>240.91757451181903</v>
      </c>
      <c r="H146" s="14">
        <v>314.39060665362035</v>
      </c>
      <c r="I146" s="14">
        <v>478.71983556012339</v>
      </c>
      <c r="J146" s="14">
        <f t="shared" si="22"/>
        <v>480.48375733855187</v>
      </c>
      <c r="K146" s="14">
        <f t="shared" si="23"/>
        <v>719.63741007194244</v>
      </c>
      <c r="L146" s="14">
        <f t="shared" si="24"/>
        <v>74.824423826887482</v>
      </c>
      <c r="M146" s="14">
        <f t="shared" si="25"/>
        <v>239.15365273339057</v>
      </c>
      <c r="N146" s="15">
        <v>31.218799999999995</v>
      </c>
      <c r="O146" s="15">
        <v>26.0518</v>
      </c>
      <c r="P146" s="15">
        <f t="shared" si="21"/>
        <v>5.1669999999999945</v>
      </c>
      <c r="Q146" s="2">
        <v>6.9000000000000006E-2</v>
      </c>
      <c r="R146" s="2">
        <v>0.17</v>
      </c>
      <c r="S146" s="2">
        <v>0.76100000000000001</v>
      </c>
      <c r="T146" s="21" t="s">
        <v>121</v>
      </c>
    </row>
    <row r="147" spans="1:20" x14ac:dyDescent="0.2">
      <c r="A147">
        <v>20</v>
      </c>
      <c r="B147">
        <v>97</v>
      </c>
      <c r="C147" t="s">
        <v>9</v>
      </c>
      <c r="D147" t="s">
        <v>117</v>
      </c>
      <c r="E147">
        <v>1</v>
      </c>
      <c r="F147" s="14">
        <v>389.19976865240022</v>
      </c>
      <c r="G147" s="14">
        <v>364.51957356076753</v>
      </c>
      <c r="H147" s="14">
        <v>697.75454019664562</v>
      </c>
      <c r="I147" s="14">
        <v>577.80230277185512</v>
      </c>
      <c r="J147" s="14">
        <f t="shared" si="22"/>
        <v>1086.9543088490459</v>
      </c>
      <c r="K147" s="14">
        <f t="shared" si="23"/>
        <v>942.32187633262265</v>
      </c>
      <c r="L147" s="14">
        <f t="shared" si="24"/>
        <v>-24.680195091632697</v>
      </c>
      <c r="M147" s="14">
        <f t="shared" si="25"/>
        <v>-144.63243251642325</v>
      </c>
      <c r="N147" s="15">
        <v>54.294199999999996</v>
      </c>
      <c r="O147" s="15">
        <v>50.119599999999998</v>
      </c>
      <c r="P147" s="15">
        <f t="shared" si="21"/>
        <v>4.1745999999999981</v>
      </c>
      <c r="Q147" s="2">
        <v>7.5999999999999998E-2</v>
      </c>
      <c r="R147" s="2">
        <v>0.24399999999999999</v>
      </c>
      <c r="S147" s="2">
        <v>0.68</v>
      </c>
      <c r="T147" s="21" t="s">
        <v>121</v>
      </c>
    </row>
    <row r="148" spans="1:20" x14ac:dyDescent="0.2">
      <c r="A148">
        <v>20</v>
      </c>
      <c r="B148">
        <v>233</v>
      </c>
      <c r="C148" t="s">
        <v>9</v>
      </c>
      <c r="D148" t="s">
        <v>117</v>
      </c>
      <c r="E148">
        <v>4</v>
      </c>
      <c r="F148" s="14">
        <v>380.9460972017672</v>
      </c>
      <c r="G148" s="14">
        <v>524.20438871473345</v>
      </c>
      <c r="H148" s="14">
        <v>715.76200294550802</v>
      </c>
      <c r="I148" s="14">
        <v>978.72601880877733</v>
      </c>
      <c r="J148" s="14">
        <f t="shared" si="22"/>
        <v>1096.7081001472752</v>
      </c>
      <c r="K148" s="14">
        <f t="shared" si="23"/>
        <v>1502.9304075235109</v>
      </c>
      <c r="L148" s="14">
        <f t="shared" si="24"/>
        <v>143.25829151296625</v>
      </c>
      <c r="M148" s="14">
        <f t="shared" si="25"/>
        <v>406.22230737623568</v>
      </c>
      <c r="N148" s="15">
        <v>135.46540000000002</v>
      </c>
      <c r="O148" s="15">
        <v>88.335399999999993</v>
      </c>
      <c r="P148" s="15">
        <f t="shared" si="21"/>
        <v>47.130000000000024</v>
      </c>
      <c r="Q148" s="2">
        <v>0.17199999999999999</v>
      </c>
      <c r="R148" s="2">
        <v>0.33</v>
      </c>
      <c r="S148" s="2">
        <v>0.498</v>
      </c>
      <c r="T148" s="21" t="s">
        <v>121</v>
      </c>
    </row>
    <row r="149" spans="1:20" x14ac:dyDescent="0.2">
      <c r="A149">
        <v>20</v>
      </c>
      <c r="B149">
        <v>236</v>
      </c>
      <c r="C149" t="s">
        <v>9</v>
      </c>
      <c r="D149" t="s">
        <v>117</v>
      </c>
      <c r="E149">
        <v>2</v>
      </c>
      <c r="F149" s="14">
        <v>374.88854667949937</v>
      </c>
      <c r="G149" s="14">
        <v>545.5590225563908</v>
      </c>
      <c r="H149" s="14">
        <v>577.6492781520692</v>
      </c>
      <c r="I149" s="14">
        <v>779.16654135338342</v>
      </c>
      <c r="J149" s="14">
        <f t="shared" si="22"/>
        <v>952.53782483156851</v>
      </c>
      <c r="K149" s="14">
        <f t="shared" si="23"/>
        <v>1324.7255639097743</v>
      </c>
      <c r="L149" s="14">
        <f t="shared" si="24"/>
        <v>170.67047587689143</v>
      </c>
      <c r="M149" s="14">
        <f t="shared" si="25"/>
        <v>372.18773907820582</v>
      </c>
      <c r="N149" s="15">
        <v>94.720688372093008</v>
      </c>
      <c r="O149" s="15">
        <v>74.437088372093015</v>
      </c>
      <c r="P149" s="15">
        <f t="shared" si="21"/>
        <v>20.283599999999993</v>
      </c>
      <c r="Q149" s="2">
        <v>7.3999999999999996E-2</v>
      </c>
      <c r="R149" s="2">
        <v>0.25700000000000001</v>
      </c>
      <c r="S149" s="2">
        <v>0.66900000000000004</v>
      </c>
      <c r="T149" s="21" t="s">
        <v>121</v>
      </c>
    </row>
    <row r="150" spans="1:20" x14ac:dyDescent="0.2">
      <c r="A150">
        <v>20</v>
      </c>
      <c r="B150">
        <v>21</v>
      </c>
      <c r="C150" t="s">
        <v>9</v>
      </c>
      <c r="D150" t="s">
        <v>118</v>
      </c>
      <c r="E150">
        <v>3</v>
      </c>
      <c r="F150" s="14">
        <v>591.12844574780036</v>
      </c>
      <c r="G150" s="14">
        <v>492.1152242577383</v>
      </c>
      <c r="H150" s="14">
        <v>1135.5888563049853</v>
      </c>
      <c r="I150" s="14">
        <v>1028.2718888186987</v>
      </c>
      <c r="J150" s="14">
        <f t="shared" si="22"/>
        <v>1726.7173020527857</v>
      </c>
      <c r="K150" s="14">
        <f t="shared" si="23"/>
        <v>1520.3871130764369</v>
      </c>
      <c r="L150" s="14">
        <f t="shared" si="24"/>
        <v>-99.013221490062051</v>
      </c>
      <c r="M150" s="14">
        <f t="shared" si="25"/>
        <v>-206.33018897634884</v>
      </c>
      <c r="N150" s="15">
        <v>139.2192</v>
      </c>
      <c r="O150" s="15">
        <v>149.22379999999998</v>
      </c>
      <c r="P150" s="15">
        <f t="shared" si="21"/>
        <v>-10.004599999999982</v>
      </c>
      <c r="Q150" s="2">
        <v>0.216</v>
      </c>
      <c r="R150" s="2">
        <v>0.52800000000000002</v>
      </c>
      <c r="S150" s="2">
        <v>0.25600000000000001</v>
      </c>
      <c r="T150" s="21" t="s">
        <v>121</v>
      </c>
    </row>
    <row r="151" spans="1:20" x14ac:dyDescent="0.2">
      <c r="A151">
        <v>20</v>
      </c>
      <c r="B151">
        <v>80</v>
      </c>
      <c r="C151" t="s">
        <v>9</v>
      </c>
      <c r="D151" t="s">
        <v>118</v>
      </c>
      <c r="E151">
        <v>4</v>
      </c>
      <c r="F151" s="14">
        <v>133.4275395033859</v>
      </c>
      <c r="G151" s="14">
        <v>179.49799426934098</v>
      </c>
      <c r="H151" s="14">
        <v>667.13769751693007</v>
      </c>
      <c r="I151" s="14">
        <v>609.42464183381094</v>
      </c>
      <c r="J151" s="14">
        <f t="shared" si="22"/>
        <v>800.56523702031598</v>
      </c>
      <c r="K151" s="14">
        <f t="shared" si="23"/>
        <v>788.92263610315194</v>
      </c>
      <c r="L151" s="14">
        <f t="shared" si="24"/>
        <v>46.070454765955077</v>
      </c>
      <c r="M151" s="14">
        <f t="shared" si="25"/>
        <v>-11.642600917164032</v>
      </c>
      <c r="N151" s="15">
        <v>21.000799999999998</v>
      </c>
      <c r="O151" s="15">
        <v>28.221399999999996</v>
      </c>
      <c r="P151" s="15">
        <f t="shared" si="21"/>
        <v>-7.2205999999999975</v>
      </c>
      <c r="Q151" s="2">
        <v>0.13100000000000001</v>
      </c>
      <c r="R151" s="2">
        <v>0.26100000000000001</v>
      </c>
      <c r="S151" s="2">
        <v>0.60799999999999998</v>
      </c>
      <c r="T151" s="21" t="s">
        <v>121</v>
      </c>
    </row>
    <row r="152" spans="1:20" x14ac:dyDescent="0.2">
      <c r="A152">
        <v>20</v>
      </c>
      <c r="B152">
        <v>173</v>
      </c>
      <c r="C152" t="s">
        <v>9</v>
      </c>
      <c r="D152" t="s">
        <v>118</v>
      </c>
      <c r="E152">
        <v>1</v>
      </c>
      <c r="F152" s="14">
        <v>168.83831337844876</v>
      </c>
      <c r="G152" s="14">
        <v>175.0083897158321</v>
      </c>
      <c r="H152" s="14">
        <v>522.29422175950026</v>
      </c>
      <c r="I152" s="14">
        <v>598.8568335588634</v>
      </c>
      <c r="J152" s="14">
        <f t="shared" si="22"/>
        <v>691.13253513794905</v>
      </c>
      <c r="K152" s="14">
        <f t="shared" si="23"/>
        <v>773.8652232746955</v>
      </c>
      <c r="L152" s="14">
        <f t="shared" si="24"/>
        <v>6.1700763373833354</v>
      </c>
      <c r="M152" s="14">
        <f t="shared" si="25"/>
        <v>82.732688136746447</v>
      </c>
      <c r="N152" s="15">
        <v>14.205125606469</v>
      </c>
      <c r="O152" s="15">
        <v>17.828125606469005</v>
      </c>
      <c r="P152" s="15">
        <f t="shared" si="21"/>
        <v>-3.6230000000000047</v>
      </c>
      <c r="Q152" s="2">
        <v>0.1</v>
      </c>
      <c r="R152" s="2">
        <v>0.27900000000000003</v>
      </c>
      <c r="S152" s="2">
        <v>0.621</v>
      </c>
      <c r="T152" s="21" t="s">
        <v>121</v>
      </c>
    </row>
    <row r="153" spans="1:20" x14ac:dyDescent="0.2">
      <c r="A153">
        <v>20</v>
      </c>
      <c r="B153">
        <v>269</v>
      </c>
      <c r="C153" t="s">
        <v>9</v>
      </c>
      <c r="D153" t="s">
        <v>118</v>
      </c>
      <c r="E153">
        <v>2</v>
      </c>
      <c r="F153" s="14">
        <v>151.95640802092396</v>
      </c>
      <c r="G153" s="14">
        <v>231.90885654885651</v>
      </c>
      <c r="H153" s="14">
        <v>405.65754141238011</v>
      </c>
      <c r="I153" s="14">
        <v>830.58661122661124</v>
      </c>
      <c r="J153" s="14">
        <f t="shared" si="22"/>
        <v>557.61394943330401</v>
      </c>
      <c r="K153" s="14">
        <f t="shared" si="23"/>
        <v>1062.4954677754677</v>
      </c>
      <c r="L153" s="14">
        <f t="shared" si="24"/>
        <v>79.952448527932546</v>
      </c>
      <c r="M153" s="14">
        <f t="shared" si="25"/>
        <v>504.88151834216364</v>
      </c>
      <c r="N153" s="15">
        <v>32.917199999999994</v>
      </c>
      <c r="O153" s="15">
        <v>27.770400000000002</v>
      </c>
      <c r="P153" s="15">
        <f t="shared" si="21"/>
        <v>5.1467999999999918</v>
      </c>
      <c r="Q153" s="2">
        <v>0.108</v>
      </c>
      <c r="R153" s="2">
        <v>0.17699999999999999</v>
      </c>
      <c r="S153" s="2">
        <v>0.71499999999999997</v>
      </c>
      <c r="T153" s="21" t="s">
        <v>121</v>
      </c>
    </row>
    <row r="154" spans="1:20" x14ac:dyDescent="0.2">
      <c r="A154">
        <v>20</v>
      </c>
      <c r="B154">
        <v>23</v>
      </c>
      <c r="C154" t="s">
        <v>23</v>
      </c>
      <c r="D154" t="s">
        <v>115</v>
      </c>
      <c r="E154">
        <v>2</v>
      </c>
      <c r="F154" s="14">
        <v>319.1276322293624</v>
      </c>
      <c r="G154" s="14">
        <v>345.09520295202947</v>
      </c>
      <c r="H154" s="14">
        <v>606.3425012357884</v>
      </c>
      <c r="I154" s="14">
        <v>646.49690036900381</v>
      </c>
      <c r="J154" s="14">
        <f t="shared" si="22"/>
        <v>925.47013346515087</v>
      </c>
      <c r="K154" s="14">
        <f t="shared" si="23"/>
        <v>991.59210332103328</v>
      </c>
      <c r="L154" s="14">
        <f t="shared" si="24"/>
        <v>25.967570722667062</v>
      </c>
      <c r="M154" s="14">
        <f t="shared" si="25"/>
        <v>66.121969855882412</v>
      </c>
      <c r="N154" s="15">
        <v>106.43360000000001</v>
      </c>
      <c r="O154" s="15">
        <v>105.32160000000002</v>
      </c>
      <c r="P154" s="15">
        <f t="shared" si="21"/>
        <v>1.1119999999999948</v>
      </c>
      <c r="Q154" s="2">
        <v>0.13600000000000001</v>
      </c>
      <c r="R154" s="2">
        <v>0.17499999999999999</v>
      </c>
      <c r="S154" s="2">
        <v>0.68899999999999995</v>
      </c>
      <c r="T154" s="18" t="s">
        <v>122</v>
      </c>
    </row>
    <row r="155" spans="1:20" x14ac:dyDescent="0.2">
      <c r="A155">
        <v>20</v>
      </c>
      <c r="B155">
        <v>167</v>
      </c>
      <c r="C155" t="s">
        <v>23</v>
      </c>
      <c r="D155" t="s">
        <v>115</v>
      </c>
      <c r="E155">
        <v>3</v>
      </c>
      <c r="F155" s="14">
        <v>403.16682027649779</v>
      </c>
      <c r="G155" s="14">
        <v>531.1391051714121</v>
      </c>
      <c r="H155" s="14">
        <v>641.97751152073738</v>
      </c>
      <c r="I155" s="14">
        <v>744.29592097617649</v>
      </c>
      <c r="J155" s="14">
        <f t="shared" ref="J155:J183" si="26">F155+H155</f>
        <v>1045.1443317972353</v>
      </c>
      <c r="K155" s="14">
        <f t="shared" ref="K155:K186" si="27">G155+I155</f>
        <v>1275.4350261475886</v>
      </c>
      <c r="L155" s="14">
        <f t="shared" ref="L155:L186" si="28">G155-F155</f>
        <v>127.97228489491431</v>
      </c>
      <c r="M155" s="14">
        <f t="shared" ref="M155:M183" si="29">K155-J155</f>
        <v>230.29069435035331</v>
      </c>
      <c r="N155" s="15">
        <v>143.8062048192771</v>
      </c>
      <c r="O155" s="15">
        <v>115.74220481927709</v>
      </c>
      <c r="P155" s="15">
        <f t="shared" si="21"/>
        <v>28.064000000000007</v>
      </c>
      <c r="Q155" s="2">
        <v>0.23</v>
      </c>
      <c r="R155" s="2">
        <v>0.29699999999999999</v>
      </c>
      <c r="S155" s="2">
        <v>0.47399999999999998</v>
      </c>
      <c r="T155" s="18" t="s">
        <v>122</v>
      </c>
    </row>
    <row r="156" spans="1:20" x14ac:dyDescent="0.2">
      <c r="A156">
        <v>10</v>
      </c>
      <c r="B156">
        <v>191</v>
      </c>
      <c r="C156" t="s">
        <v>23</v>
      </c>
      <c r="D156" t="s">
        <v>115</v>
      </c>
      <c r="E156">
        <v>1</v>
      </c>
      <c r="F156" s="14">
        <v>144.34285714285676</v>
      </c>
      <c r="G156" s="14">
        <v>242.35550405561909</v>
      </c>
      <c r="H156" s="14">
        <v>510.26466165413507</v>
      </c>
      <c r="I156" s="14">
        <v>282.74808806488977</v>
      </c>
      <c r="J156" s="14">
        <f t="shared" si="26"/>
        <v>654.60751879699183</v>
      </c>
      <c r="K156" s="14">
        <f t="shared" si="27"/>
        <v>525.10359212050889</v>
      </c>
      <c r="L156" s="14">
        <f t="shared" si="28"/>
        <v>98.012646912762335</v>
      </c>
      <c r="M156" s="14">
        <f t="shared" si="29"/>
        <v>-129.50392667648293</v>
      </c>
      <c r="N156" s="15"/>
      <c r="O156" s="15"/>
      <c r="P156" s="15"/>
      <c r="Q156" s="2">
        <v>0.46800000000000003</v>
      </c>
      <c r="R156" s="2">
        <v>0.23</v>
      </c>
      <c r="S156" s="2">
        <v>0.30199999999999999</v>
      </c>
      <c r="T156" s="18" t="s">
        <v>122</v>
      </c>
    </row>
    <row r="157" spans="1:20" x14ac:dyDescent="0.2">
      <c r="A157">
        <v>10</v>
      </c>
      <c r="B157">
        <v>234</v>
      </c>
      <c r="C157" t="s">
        <v>23</v>
      </c>
      <c r="D157" t="s">
        <v>115</v>
      </c>
      <c r="E157">
        <v>4</v>
      </c>
      <c r="F157" s="14">
        <v>297.97510608203652</v>
      </c>
      <c r="G157" s="14">
        <v>383.52729338256182</v>
      </c>
      <c r="H157" s="14">
        <v>750.29702970297024</v>
      </c>
      <c r="I157" s="14">
        <v>611.66361829025823</v>
      </c>
      <c r="J157" s="14">
        <f t="shared" si="26"/>
        <v>1048.2721357850069</v>
      </c>
      <c r="K157" s="14">
        <f t="shared" si="27"/>
        <v>995.19091167281999</v>
      </c>
      <c r="L157" s="14">
        <f t="shared" si="28"/>
        <v>85.552187300525304</v>
      </c>
      <c r="M157" s="14">
        <f t="shared" si="29"/>
        <v>-53.081224112186874</v>
      </c>
      <c r="N157" s="15">
        <v>61.62381465968587</v>
      </c>
      <c r="O157" s="15">
        <v>52.839440425531926</v>
      </c>
      <c r="P157" s="15">
        <f t="shared" ref="P157:P195" si="30">N157-O157</f>
        <v>8.7843742341539439</v>
      </c>
      <c r="Q157" s="2">
        <v>0.35799999999999998</v>
      </c>
      <c r="R157" s="2">
        <v>0.27</v>
      </c>
      <c r="S157" s="2">
        <v>0.373</v>
      </c>
      <c r="T157" s="18" t="s">
        <v>122</v>
      </c>
    </row>
    <row r="158" spans="1:20" x14ac:dyDescent="0.2">
      <c r="A158">
        <v>20</v>
      </c>
      <c r="B158">
        <v>8</v>
      </c>
      <c r="C158" t="s">
        <v>23</v>
      </c>
      <c r="D158" t="s">
        <v>117</v>
      </c>
      <c r="E158">
        <v>2</v>
      </c>
      <c r="F158" s="14">
        <v>420.19714285714269</v>
      </c>
      <c r="G158" s="14">
        <v>397.45854383358102</v>
      </c>
      <c r="H158" s="14">
        <v>685.86024489795909</v>
      </c>
      <c r="I158" s="14">
        <v>683.74823179791974</v>
      </c>
      <c r="J158" s="14">
        <f t="shared" si="26"/>
        <v>1106.0573877551019</v>
      </c>
      <c r="K158" s="14">
        <f t="shared" si="27"/>
        <v>1081.2067756315007</v>
      </c>
      <c r="L158" s="14">
        <f t="shared" si="28"/>
        <v>-22.738599023561676</v>
      </c>
      <c r="M158" s="14">
        <f t="shared" si="29"/>
        <v>-24.850612123601195</v>
      </c>
      <c r="N158" s="15">
        <v>74.511200000000002</v>
      </c>
      <c r="O158" s="15">
        <v>75.027200000000008</v>
      </c>
      <c r="P158" s="15">
        <f t="shared" si="30"/>
        <v>-0.51600000000000534</v>
      </c>
      <c r="Q158" s="2">
        <v>0.20799999999999999</v>
      </c>
      <c r="R158" s="2">
        <v>0.17399999999999999</v>
      </c>
      <c r="S158" s="2">
        <v>0.61799999999999999</v>
      </c>
      <c r="T158" s="18" t="s">
        <v>122</v>
      </c>
    </row>
    <row r="159" spans="1:20" x14ac:dyDescent="0.2">
      <c r="A159">
        <v>20</v>
      </c>
      <c r="B159">
        <v>106</v>
      </c>
      <c r="C159" t="s">
        <v>23</v>
      </c>
      <c r="D159" t="s">
        <v>117</v>
      </c>
      <c r="E159">
        <v>1</v>
      </c>
      <c r="F159" s="14">
        <v>782.39033927544574</v>
      </c>
      <c r="G159" s="14">
        <v>790.7590664272891</v>
      </c>
      <c r="H159" s="14">
        <v>1024.5670385278897</v>
      </c>
      <c r="I159" s="14">
        <v>1172.7787432675043</v>
      </c>
      <c r="J159" s="14">
        <f t="shared" si="26"/>
        <v>1806.9573778033355</v>
      </c>
      <c r="K159" s="14">
        <f t="shared" si="27"/>
        <v>1963.5378096947934</v>
      </c>
      <c r="L159" s="14">
        <f t="shared" si="28"/>
        <v>8.368727151843359</v>
      </c>
      <c r="M159" s="14">
        <f t="shared" si="29"/>
        <v>156.58043189145792</v>
      </c>
      <c r="N159" s="15">
        <v>238.52959999999999</v>
      </c>
      <c r="O159" s="15">
        <v>239.23679999999999</v>
      </c>
      <c r="P159" s="15">
        <f t="shared" si="30"/>
        <v>-0.70720000000000027</v>
      </c>
      <c r="Q159" s="2">
        <v>0.37</v>
      </c>
      <c r="R159" s="2">
        <v>0.253</v>
      </c>
      <c r="S159" s="2">
        <v>0.377</v>
      </c>
      <c r="T159" s="18" t="s">
        <v>122</v>
      </c>
    </row>
    <row r="160" spans="1:20" x14ac:dyDescent="0.2">
      <c r="A160">
        <v>20</v>
      </c>
      <c r="B160">
        <v>137</v>
      </c>
      <c r="C160" t="s">
        <v>23</v>
      </c>
      <c r="D160" t="s">
        <v>117</v>
      </c>
      <c r="E160">
        <v>3</v>
      </c>
      <c r="F160" s="14">
        <v>451.76201005025121</v>
      </c>
      <c r="G160" s="14">
        <v>482.68799999999993</v>
      </c>
      <c r="H160" s="14">
        <v>725.54797989949759</v>
      </c>
      <c r="I160" s="14">
        <v>737.13353142857147</v>
      </c>
      <c r="J160" s="14">
        <f t="shared" si="26"/>
        <v>1177.3099899497488</v>
      </c>
      <c r="K160" s="14">
        <f t="shared" si="27"/>
        <v>1219.8215314285715</v>
      </c>
      <c r="L160" s="14">
        <f t="shared" si="28"/>
        <v>30.925989949748725</v>
      </c>
      <c r="M160" s="14">
        <f t="shared" si="29"/>
        <v>42.511541478822664</v>
      </c>
      <c r="N160" s="15">
        <v>117.39499999999998</v>
      </c>
      <c r="O160" s="15">
        <v>137.00599999999997</v>
      </c>
      <c r="P160" s="15">
        <f t="shared" si="30"/>
        <v>-19.61099999999999</v>
      </c>
      <c r="Q160" s="2">
        <v>0.32800000000000001</v>
      </c>
      <c r="R160" s="2">
        <v>0.27500000000000002</v>
      </c>
      <c r="S160" s="2">
        <v>0.39800000000000002</v>
      </c>
      <c r="T160" s="18" t="s">
        <v>122</v>
      </c>
    </row>
    <row r="161" spans="1:20" x14ac:dyDescent="0.2">
      <c r="A161">
        <v>20</v>
      </c>
      <c r="B161">
        <v>207</v>
      </c>
      <c r="C161" t="s">
        <v>23</v>
      </c>
      <c r="D161" t="s">
        <v>117</v>
      </c>
      <c r="E161">
        <v>4</v>
      </c>
      <c r="F161" s="14">
        <v>688.36630934150071</v>
      </c>
      <c r="G161" s="14">
        <v>720.50170212765954</v>
      </c>
      <c r="H161" s="14">
        <v>886.40637059724338</v>
      </c>
      <c r="I161" s="14">
        <v>954.14323404255299</v>
      </c>
      <c r="J161" s="14">
        <f t="shared" si="26"/>
        <v>1574.7726799387442</v>
      </c>
      <c r="K161" s="14">
        <f t="shared" si="27"/>
        <v>1674.6449361702125</v>
      </c>
      <c r="L161" s="14">
        <f t="shared" si="28"/>
        <v>32.135392786158832</v>
      </c>
      <c r="M161" s="14">
        <f t="shared" si="29"/>
        <v>99.872256231468327</v>
      </c>
      <c r="N161" s="15">
        <v>178.36439999999999</v>
      </c>
      <c r="O161" s="15">
        <v>186.44980000000001</v>
      </c>
      <c r="P161" s="15">
        <f t="shared" si="30"/>
        <v>-8.0854000000000212</v>
      </c>
      <c r="Q161" s="2">
        <v>9.9000000000000005E-2</v>
      </c>
      <c r="R161" s="2">
        <v>0.28499999999999998</v>
      </c>
      <c r="S161" s="2">
        <v>0.61599999999999999</v>
      </c>
      <c r="T161" s="18" t="s">
        <v>122</v>
      </c>
    </row>
    <row r="162" spans="1:20" x14ac:dyDescent="0.2">
      <c r="A162">
        <v>20</v>
      </c>
      <c r="B162">
        <v>12</v>
      </c>
      <c r="C162" t="s">
        <v>23</v>
      </c>
      <c r="D162" t="s">
        <v>116</v>
      </c>
      <c r="E162">
        <v>4</v>
      </c>
      <c r="F162" s="14">
        <v>577.21553179516059</v>
      </c>
      <c r="G162" s="14">
        <v>701.24164648910414</v>
      </c>
      <c r="H162" s="14">
        <v>868.53960607765896</v>
      </c>
      <c r="I162" s="14">
        <v>1023.7397578692495</v>
      </c>
      <c r="J162" s="14">
        <f t="shared" si="26"/>
        <v>1445.7551378728194</v>
      </c>
      <c r="K162" s="14">
        <f t="shared" si="27"/>
        <v>1724.9814043583538</v>
      </c>
      <c r="L162" s="14">
        <f t="shared" si="28"/>
        <v>124.02611469394355</v>
      </c>
      <c r="M162" s="14">
        <f t="shared" si="29"/>
        <v>279.22626648553432</v>
      </c>
      <c r="N162" s="15">
        <v>206.10823339658447</v>
      </c>
      <c r="O162" s="15">
        <v>219.75223339658444</v>
      </c>
      <c r="P162" s="15">
        <f t="shared" si="30"/>
        <v>-13.643999999999977</v>
      </c>
      <c r="Q162" s="2">
        <v>0.34</v>
      </c>
      <c r="R162" s="2">
        <v>0.221</v>
      </c>
      <c r="S162" s="2">
        <v>0.439</v>
      </c>
      <c r="T162" s="18" t="s">
        <v>122</v>
      </c>
    </row>
    <row r="163" spans="1:20" x14ac:dyDescent="0.2">
      <c r="A163">
        <v>20</v>
      </c>
      <c r="B163">
        <v>142</v>
      </c>
      <c r="C163" t="s">
        <v>23</v>
      </c>
      <c r="D163" t="s">
        <v>116</v>
      </c>
      <c r="E163">
        <v>1</v>
      </c>
      <c r="F163" s="14">
        <v>364.63219512195116</v>
      </c>
      <c r="G163" s="14">
        <v>389.50158343483537</v>
      </c>
      <c r="H163" s="14">
        <v>712.25912195121941</v>
      </c>
      <c r="I163" s="14">
        <v>671.70650426309373</v>
      </c>
      <c r="J163" s="14">
        <f t="shared" si="26"/>
        <v>1076.8913170731705</v>
      </c>
      <c r="K163" s="14">
        <f t="shared" si="27"/>
        <v>1061.2080876979292</v>
      </c>
      <c r="L163" s="14">
        <f t="shared" si="28"/>
        <v>24.869388312884212</v>
      </c>
      <c r="M163" s="14">
        <f t="shared" si="29"/>
        <v>-15.683229375241353</v>
      </c>
      <c r="N163" s="15">
        <v>101.89380000000001</v>
      </c>
      <c r="O163" s="15">
        <v>108.96980000000001</v>
      </c>
      <c r="P163" s="15">
        <f t="shared" si="30"/>
        <v>-7.0759999999999934</v>
      </c>
      <c r="Q163" s="2">
        <v>0.35699999999999998</v>
      </c>
      <c r="R163" s="2">
        <v>0.28100000000000003</v>
      </c>
      <c r="S163" s="2">
        <v>0.36199999999999999</v>
      </c>
      <c r="T163" s="18" t="s">
        <v>122</v>
      </c>
    </row>
    <row r="164" spans="1:20" x14ac:dyDescent="0.2">
      <c r="A164">
        <v>20</v>
      </c>
      <c r="B164">
        <v>156</v>
      </c>
      <c r="C164" t="s">
        <v>23</v>
      </c>
      <c r="D164" t="s">
        <v>116</v>
      </c>
      <c r="E164">
        <v>2</v>
      </c>
      <c r="F164" s="14">
        <v>378.1867435158502</v>
      </c>
      <c r="G164" s="14">
        <v>401.4008344923505</v>
      </c>
      <c r="H164" s="14">
        <v>583.36391930835725</v>
      </c>
      <c r="I164" s="14">
        <v>656.7868706536857</v>
      </c>
      <c r="J164" s="14">
        <f t="shared" si="26"/>
        <v>961.55066282420739</v>
      </c>
      <c r="K164" s="14">
        <f t="shared" si="27"/>
        <v>1058.1877051460363</v>
      </c>
      <c r="L164" s="14">
        <f t="shared" si="28"/>
        <v>23.214090976500302</v>
      </c>
      <c r="M164" s="14">
        <f t="shared" si="29"/>
        <v>96.637042321828858</v>
      </c>
      <c r="N164" s="15">
        <v>86.525200000000012</v>
      </c>
      <c r="O164" s="15">
        <v>86.011600000000016</v>
      </c>
      <c r="P164" s="15">
        <f t="shared" si="30"/>
        <v>0.51359999999999673</v>
      </c>
      <c r="Q164" s="2">
        <v>0.14799999999999999</v>
      </c>
      <c r="R164" s="2">
        <v>0.23599999999999999</v>
      </c>
      <c r="S164" s="2">
        <v>0.61599999999999999</v>
      </c>
      <c r="T164" s="18" t="s">
        <v>122</v>
      </c>
    </row>
    <row r="165" spans="1:20" x14ac:dyDescent="0.2">
      <c r="A165">
        <v>20</v>
      </c>
      <c r="B165">
        <v>176</v>
      </c>
      <c r="C165" t="s">
        <v>23</v>
      </c>
      <c r="D165" t="s">
        <v>116</v>
      </c>
      <c r="E165">
        <v>3</v>
      </c>
      <c r="F165" s="14">
        <v>350.18100558659205</v>
      </c>
      <c r="G165" s="14">
        <v>411.19397260273985</v>
      </c>
      <c r="H165" s="14">
        <v>521.71351955307262</v>
      </c>
      <c r="I165" s="14">
        <v>776.10279452054783</v>
      </c>
      <c r="J165" s="14">
        <f t="shared" si="26"/>
        <v>871.89452513966467</v>
      </c>
      <c r="K165" s="14">
        <f t="shared" si="27"/>
        <v>1187.2967671232877</v>
      </c>
      <c r="L165" s="14">
        <f t="shared" si="28"/>
        <v>61.012967016147797</v>
      </c>
      <c r="M165" s="14">
        <f t="shared" si="29"/>
        <v>315.40224198362307</v>
      </c>
      <c r="N165" s="15">
        <v>92.188799999999986</v>
      </c>
      <c r="O165" s="15">
        <v>89.9328</v>
      </c>
      <c r="P165" s="15">
        <f t="shared" si="30"/>
        <v>2.255999999999986</v>
      </c>
      <c r="Q165" s="2">
        <v>0.34399999999999997</v>
      </c>
      <c r="R165" s="2">
        <v>0.40699999999999997</v>
      </c>
      <c r="S165" s="2">
        <v>0.249</v>
      </c>
      <c r="T165" s="18" t="s">
        <v>122</v>
      </c>
    </row>
    <row r="166" spans="1:20" x14ac:dyDescent="0.2">
      <c r="A166">
        <v>20</v>
      </c>
      <c r="B166">
        <v>30</v>
      </c>
      <c r="C166" t="s">
        <v>23</v>
      </c>
      <c r="D166" t="s">
        <v>118</v>
      </c>
      <c r="E166">
        <v>1</v>
      </c>
      <c r="F166" s="14">
        <v>724.93817271589489</v>
      </c>
      <c r="G166" s="14">
        <v>686.40148791072545</v>
      </c>
      <c r="H166" s="14">
        <v>1107.4185732165206</v>
      </c>
      <c r="I166" s="14">
        <v>1009.2159206447614</v>
      </c>
      <c r="J166" s="14">
        <f t="shared" si="26"/>
        <v>1832.3567459324154</v>
      </c>
      <c r="K166" s="14">
        <f t="shared" si="27"/>
        <v>1695.6174085554867</v>
      </c>
      <c r="L166" s="14">
        <f t="shared" si="28"/>
        <v>-38.536684805169443</v>
      </c>
      <c r="M166" s="14">
        <f t="shared" si="29"/>
        <v>-136.73933737692869</v>
      </c>
      <c r="N166" s="15">
        <v>164.42359999999999</v>
      </c>
      <c r="O166" s="15">
        <v>184.00879999999998</v>
      </c>
      <c r="P166" s="15">
        <f t="shared" si="30"/>
        <v>-19.585199999999986</v>
      </c>
      <c r="Q166" s="2">
        <v>0.245</v>
      </c>
      <c r="R166" s="2">
        <v>0.25</v>
      </c>
      <c r="S166" s="2">
        <v>0.505</v>
      </c>
      <c r="T166" s="18" t="s">
        <v>122</v>
      </c>
    </row>
    <row r="167" spans="1:20" x14ac:dyDescent="0.2">
      <c r="A167">
        <v>20</v>
      </c>
      <c r="B167">
        <v>219</v>
      </c>
      <c r="C167" t="s">
        <v>23</v>
      </c>
      <c r="D167" t="s">
        <v>118</v>
      </c>
      <c r="E167">
        <v>3</v>
      </c>
      <c r="F167" s="14">
        <v>797.02665869695159</v>
      </c>
      <c r="G167" s="14">
        <v>744.51457286432162</v>
      </c>
      <c r="H167" s="14">
        <v>976.62814106395695</v>
      </c>
      <c r="I167" s="14">
        <v>1132.9423115577888</v>
      </c>
      <c r="J167" s="14">
        <f t="shared" si="26"/>
        <v>1773.6547997609086</v>
      </c>
      <c r="K167" s="14">
        <f t="shared" si="27"/>
        <v>1877.4568844221103</v>
      </c>
      <c r="L167" s="14">
        <f t="shared" si="28"/>
        <v>-52.512085832629964</v>
      </c>
      <c r="M167" s="14">
        <f t="shared" si="29"/>
        <v>103.80208466120166</v>
      </c>
      <c r="N167" s="15">
        <v>235.42520000000002</v>
      </c>
      <c r="O167" s="15">
        <v>220.16519999999997</v>
      </c>
      <c r="P167" s="15">
        <f t="shared" si="30"/>
        <v>15.260000000000048</v>
      </c>
      <c r="Q167" s="2">
        <v>0.22800000000000001</v>
      </c>
      <c r="R167" s="2">
        <v>0.38300000000000001</v>
      </c>
      <c r="S167" s="2">
        <v>0.38900000000000001</v>
      </c>
      <c r="T167" s="18" t="s">
        <v>122</v>
      </c>
    </row>
    <row r="168" spans="1:20" x14ac:dyDescent="0.2">
      <c r="A168">
        <v>20</v>
      </c>
      <c r="B168">
        <v>257</v>
      </c>
      <c r="C168" t="s">
        <v>23</v>
      </c>
      <c r="D168" t="s">
        <v>118</v>
      </c>
      <c r="E168">
        <v>2</v>
      </c>
      <c r="F168" s="14">
        <v>751.41852631578968</v>
      </c>
      <c r="G168" s="14">
        <v>668.73896907216522</v>
      </c>
      <c r="H168" s="14">
        <v>992.3191578947368</v>
      </c>
      <c r="I168" s="14">
        <v>878.11051546391741</v>
      </c>
      <c r="J168" s="14">
        <f t="shared" si="26"/>
        <v>1743.7376842105264</v>
      </c>
      <c r="K168" s="14">
        <f t="shared" si="27"/>
        <v>1546.8494845360826</v>
      </c>
      <c r="L168" s="14">
        <f t="shared" si="28"/>
        <v>-82.679557243624458</v>
      </c>
      <c r="M168" s="14">
        <f t="shared" si="29"/>
        <v>-196.88819967444374</v>
      </c>
      <c r="N168" s="15">
        <v>140.476</v>
      </c>
      <c r="O168" s="15">
        <v>139.78360000000001</v>
      </c>
      <c r="P168" s="15">
        <f t="shared" si="30"/>
        <v>0.69239999999999213</v>
      </c>
      <c r="Q168" s="2">
        <v>0.16300000000000001</v>
      </c>
      <c r="R168" s="2">
        <v>0.28299999999999997</v>
      </c>
      <c r="S168" s="2">
        <v>0.55400000000000005</v>
      </c>
      <c r="T168" s="18" t="s">
        <v>122</v>
      </c>
    </row>
    <row r="169" spans="1:20" x14ac:dyDescent="0.2">
      <c r="A169">
        <v>20</v>
      </c>
      <c r="B169">
        <v>259</v>
      </c>
      <c r="C169" t="s">
        <v>23</v>
      </c>
      <c r="D169" t="s">
        <v>118</v>
      </c>
      <c r="E169">
        <v>4</v>
      </c>
      <c r="F169" s="14">
        <v>689.22877030162431</v>
      </c>
      <c r="G169" s="14">
        <v>622.79776536312852</v>
      </c>
      <c r="H169" s="14">
        <v>954.72250580046398</v>
      </c>
      <c r="I169" s="14">
        <v>987.82122905027927</v>
      </c>
      <c r="J169" s="14">
        <f t="shared" si="26"/>
        <v>1643.9512761020883</v>
      </c>
      <c r="K169" s="14">
        <f t="shared" si="27"/>
        <v>1610.6189944134078</v>
      </c>
      <c r="L169" s="14">
        <f t="shared" si="28"/>
        <v>-66.431004938495789</v>
      </c>
      <c r="M169" s="14">
        <f t="shared" si="29"/>
        <v>-33.332281688680496</v>
      </c>
      <c r="N169" s="15">
        <v>196.34100000000001</v>
      </c>
      <c r="O169" s="15">
        <v>187.72579999999999</v>
      </c>
      <c r="P169" s="15">
        <f t="shared" si="30"/>
        <v>8.6152000000000157</v>
      </c>
      <c r="Q169" s="2">
        <v>0.38</v>
      </c>
      <c r="R169" s="2">
        <v>0.217</v>
      </c>
      <c r="S169" s="2">
        <v>0.40300000000000002</v>
      </c>
      <c r="T169" s="18" t="s">
        <v>122</v>
      </c>
    </row>
    <row r="170" spans="1:20" x14ac:dyDescent="0.2">
      <c r="A170">
        <v>20</v>
      </c>
      <c r="B170">
        <v>55</v>
      </c>
      <c r="C170" t="s">
        <v>6</v>
      </c>
      <c r="D170" t="s">
        <v>115</v>
      </c>
      <c r="E170">
        <v>2</v>
      </c>
      <c r="F170" s="14">
        <v>121.16919077023078</v>
      </c>
      <c r="G170" s="14">
        <v>67.621338506304681</v>
      </c>
      <c r="H170" s="14">
        <v>92.600844978875486</v>
      </c>
      <c r="I170" s="14">
        <v>86.24170708050427</v>
      </c>
      <c r="J170" s="14">
        <f t="shared" si="26"/>
        <v>213.77003574910628</v>
      </c>
      <c r="K170" s="14">
        <f t="shared" si="27"/>
        <v>153.86304558680894</v>
      </c>
      <c r="L170" s="14">
        <f t="shared" si="28"/>
        <v>-53.547852263926103</v>
      </c>
      <c r="M170" s="14">
        <f t="shared" si="29"/>
        <v>-59.906990162297348</v>
      </c>
      <c r="N170" s="15">
        <v>7.8506000000000009</v>
      </c>
      <c r="O170" s="15">
        <v>2.6692</v>
      </c>
      <c r="P170" s="15">
        <f t="shared" si="30"/>
        <v>5.1814000000000009</v>
      </c>
      <c r="Q170" s="2">
        <v>3.4000000000000002E-2</v>
      </c>
      <c r="R170" s="2">
        <v>4.7E-2</v>
      </c>
      <c r="S170" s="2">
        <v>0.91900000000000004</v>
      </c>
      <c r="T170" s="18" t="s">
        <v>122</v>
      </c>
    </row>
    <row r="171" spans="1:20" x14ac:dyDescent="0.2">
      <c r="A171">
        <v>20</v>
      </c>
      <c r="B171">
        <v>66</v>
      </c>
      <c r="C171" t="s">
        <v>6</v>
      </c>
      <c r="D171" t="s">
        <v>115</v>
      </c>
      <c r="E171">
        <v>3</v>
      </c>
      <c r="F171" s="14">
        <v>73.525226390685646</v>
      </c>
      <c r="G171" s="14">
        <v>64.897233201581059</v>
      </c>
      <c r="H171" s="14">
        <v>159.79482535575667</v>
      </c>
      <c r="I171" s="14">
        <v>104.83399209486173</v>
      </c>
      <c r="J171" s="14">
        <f t="shared" si="26"/>
        <v>233.32005174644232</v>
      </c>
      <c r="K171" s="14">
        <f t="shared" si="27"/>
        <v>169.7312252964428</v>
      </c>
      <c r="L171" s="14">
        <f t="shared" si="28"/>
        <v>-8.6279931891045862</v>
      </c>
      <c r="M171" s="14">
        <f t="shared" si="29"/>
        <v>-63.588826449999516</v>
      </c>
      <c r="N171" s="15">
        <v>9.7231999999999985</v>
      </c>
      <c r="O171" s="15">
        <v>8.2521999999999984</v>
      </c>
      <c r="P171" s="15">
        <f t="shared" si="30"/>
        <v>1.4710000000000001</v>
      </c>
      <c r="Q171" s="2">
        <v>5.8999999999999997E-2</v>
      </c>
      <c r="R171" s="2">
        <v>3.5999999999999997E-2</v>
      </c>
      <c r="S171" s="2">
        <v>0.90400000000000003</v>
      </c>
      <c r="T171" s="18" t="s">
        <v>122</v>
      </c>
    </row>
    <row r="172" spans="1:20" x14ac:dyDescent="0.2">
      <c r="A172">
        <v>20</v>
      </c>
      <c r="B172">
        <v>228</v>
      </c>
      <c r="C172" t="s">
        <v>6</v>
      </c>
      <c r="D172" t="s">
        <v>115</v>
      </c>
      <c r="E172">
        <v>4</v>
      </c>
      <c r="F172" s="14">
        <v>36.812272291466996</v>
      </c>
      <c r="G172" s="14">
        <v>69.027326732673387</v>
      </c>
      <c r="H172" s="14">
        <v>66.843336529242521</v>
      </c>
      <c r="I172" s="14">
        <v>87.034455445544467</v>
      </c>
      <c r="J172" s="14">
        <f t="shared" si="26"/>
        <v>103.65560882070952</v>
      </c>
      <c r="K172" s="14">
        <f t="shared" si="27"/>
        <v>156.06178217821787</v>
      </c>
      <c r="L172" s="14">
        <f t="shared" si="28"/>
        <v>32.215054441206391</v>
      </c>
      <c r="M172" s="14">
        <f t="shared" si="29"/>
        <v>52.406173357508351</v>
      </c>
      <c r="N172" s="15">
        <v>9.41</v>
      </c>
      <c r="O172" s="15">
        <v>5.6446000000000005</v>
      </c>
      <c r="P172" s="15">
        <f t="shared" si="30"/>
        <v>3.7653999999999996</v>
      </c>
      <c r="Q172" s="2">
        <v>2.7E-2</v>
      </c>
      <c r="R172" s="2">
        <v>6.4000000000000001E-2</v>
      </c>
      <c r="S172" s="2">
        <v>0.90900000000000003</v>
      </c>
      <c r="T172" s="18" t="s">
        <v>122</v>
      </c>
    </row>
    <row r="173" spans="1:20" x14ac:dyDescent="0.2">
      <c r="A173">
        <v>20</v>
      </c>
      <c r="B173">
        <v>274</v>
      </c>
      <c r="C173" t="s">
        <v>6</v>
      </c>
      <c r="D173" t="s">
        <v>115</v>
      </c>
      <c r="E173">
        <v>1</v>
      </c>
      <c r="F173" s="14">
        <v>59.737571519389796</v>
      </c>
      <c r="G173" s="14">
        <v>101.52811594202906</v>
      </c>
      <c r="H173" s="14">
        <v>120.43865225683406</v>
      </c>
      <c r="I173" s="14">
        <v>132.76753623188398</v>
      </c>
      <c r="J173" s="14">
        <f t="shared" si="26"/>
        <v>180.17622377622385</v>
      </c>
      <c r="K173" s="14">
        <f t="shared" si="27"/>
        <v>234.29565217391303</v>
      </c>
      <c r="L173" s="14">
        <f t="shared" si="28"/>
        <v>41.790544422639265</v>
      </c>
      <c r="M173" s="14">
        <f t="shared" si="29"/>
        <v>54.119428397689177</v>
      </c>
      <c r="N173" s="15">
        <v>13.956799999999998</v>
      </c>
      <c r="O173" s="15">
        <v>9.2613999999999983</v>
      </c>
      <c r="P173" s="15">
        <f t="shared" si="30"/>
        <v>4.6953999999999994</v>
      </c>
      <c r="Q173" s="2">
        <v>3.5999999999999997E-2</v>
      </c>
      <c r="R173" s="2">
        <v>8.4000000000000005E-2</v>
      </c>
      <c r="S173" s="2">
        <v>0.88</v>
      </c>
      <c r="T173" s="18" t="s">
        <v>122</v>
      </c>
    </row>
    <row r="174" spans="1:20" x14ac:dyDescent="0.2">
      <c r="A174">
        <v>20</v>
      </c>
      <c r="B174">
        <v>43</v>
      </c>
      <c r="C174" t="s">
        <v>6</v>
      </c>
      <c r="D174" t="s">
        <v>117</v>
      </c>
      <c r="E174">
        <v>3</v>
      </c>
      <c r="F174" s="14">
        <v>192.43948623853217</v>
      </c>
      <c r="G174" s="14">
        <v>123.12417794971003</v>
      </c>
      <c r="H174" s="14">
        <v>266.96807339449538</v>
      </c>
      <c r="I174" s="14">
        <v>438.75203094777561</v>
      </c>
      <c r="J174" s="14">
        <f t="shared" si="26"/>
        <v>459.40755963302752</v>
      </c>
      <c r="K174" s="14">
        <f t="shared" si="27"/>
        <v>561.87620889748564</v>
      </c>
      <c r="L174" s="14">
        <f t="shared" si="28"/>
        <v>-69.315308288822138</v>
      </c>
      <c r="M174" s="14">
        <f t="shared" si="29"/>
        <v>102.46864926445812</v>
      </c>
      <c r="N174" s="15">
        <v>24.851399999999991</v>
      </c>
      <c r="O174" s="15">
        <v>15.267200000000001</v>
      </c>
      <c r="P174" s="15">
        <f t="shared" si="30"/>
        <v>9.5841999999999903</v>
      </c>
      <c r="Q174" s="2">
        <v>4.8000000000000001E-2</v>
      </c>
      <c r="R174" s="2">
        <v>5.8000000000000003E-2</v>
      </c>
      <c r="S174" s="2">
        <v>0.89400000000000002</v>
      </c>
      <c r="T174" s="18" t="s">
        <v>122</v>
      </c>
    </row>
    <row r="175" spans="1:20" x14ac:dyDescent="0.2">
      <c r="A175">
        <v>20</v>
      </c>
      <c r="B175">
        <v>90</v>
      </c>
      <c r="C175" t="s">
        <v>6</v>
      </c>
      <c r="D175" t="s">
        <v>117</v>
      </c>
      <c r="E175">
        <v>4</v>
      </c>
      <c r="F175" s="14">
        <v>144.17808219178079</v>
      </c>
      <c r="G175" s="14">
        <v>248.52720411663813</v>
      </c>
      <c r="H175" s="14">
        <v>348.33424657534238</v>
      </c>
      <c r="I175" s="14">
        <v>488.73550600343054</v>
      </c>
      <c r="J175" s="14">
        <f t="shared" si="26"/>
        <v>492.51232876712317</v>
      </c>
      <c r="K175" s="14">
        <f t="shared" si="27"/>
        <v>737.26271012006873</v>
      </c>
      <c r="L175" s="14">
        <f t="shared" si="28"/>
        <v>104.34912192485734</v>
      </c>
      <c r="M175" s="14">
        <f t="shared" si="29"/>
        <v>244.75038135294557</v>
      </c>
      <c r="N175" s="15">
        <v>37.546400000000006</v>
      </c>
      <c r="O175" s="15">
        <v>23.727399999999999</v>
      </c>
      <c r="P175" s="15">
        <f t="shared" si="30"/>
        <v>13.819000000000006</v>
      </c>
      <c r="Q175" s="2">
        <v>3.2000000000000001E-2</v>
      </c>
      <c r="R175" s="2">
        <v>0.09</v>
      </c>
      <c r="S175" s="2">
        <v>0.878</v>
      </c>
      <c r="T175" s="18" t="s">
        <v>122</v>
      </c>
    </row>
    <row r="176" spans="1:20" x14ac:dyDescent="0.2">
      <c r="A176">
        <v>20</v>
      </c>
      <c r="B176">
        <v>161</v>
      </c>
      <c r="C176" t="s">
        <v>6</v>
      </c>
      <c r="D176" t="s">
        <v>117</v>
      </c>
      <c r="E176">
        <v>1</v>
      </c>
      <c r="F176" s="14">
        <v>209.16398523985248</v>
      </c>
      <c r="G176" s="14">
        <v>244.02483026188176</v>
      </c>
      <c r="H176" s="14">
        <v>265.09018450184504</v>
      </c>
      <c r="I176" s="14">
        <v>402.78797284190102</v>
      </c>
      <c r="J176" s="14">
        <f t="shared" si="26"/>
        <v>474.25416974169752</v>
      </c>
      <c r="K176" s="14">
        <f t="shared" si="27"/>
        <v>646.81280310378281</v>
      </c>
      <c r="L176" s="14">
        <f t="shared" si="28"/>
        <v>34.860845022029281</v>
      </c>
      <c r="M176" s="14">
        <f t="shared" si="29"/>
        <v>172.55863336208529</v>
      </c>
      <c r="N176" s="15">
        <v>30.756399999999999</v>
      </c>
      <c r="O176" s="15">
        <v>28.303800000000003</v>
      </c>
      <c r="P176" s="15">
        <f t="shared" si="30"/>
        <v>2.4525999999999968</v>
      </c>
      <c r="Q176" s="2">
        <v>4.5999999999999999E-2</v>
      </c>
      <c r="R176" s="2">
        <v>0.04</v>
      </c>
      <c r="S176" s="2">
        <v>0.91400000000000003</v>
      </c>
      <c r="T176" s="18" t="s">
        <v>122</v>
      </c>
    </row>
    <row r="177" spans="1:20" x14ac:dyDescent="0.2">
      <c r="A177">
        <v>20</v>
      </c>
      <c r="B177">
        <v>197</v>
      </c>
      <c r="C177" t="s">
        <v>6</v>
      </c>
      <c r="D177" t="s">
        <v>117</v>
      </c>
      <c r="E177">
        <v>2</v>
      </c>
      <c r="F177" s="14">
        <v>192.49581993569134</v>
      </c>
      <c r="G177" s="14">
        <v>303.73154001344994</v>
      </c>
      <c r="H177" s="14">
        <v>338.69517684887467</v>
      </c>
      <c r="I177" s="14">
        <v>524.90517821116339</v>
      </c>
      <c r="J177" s="14">
        <f t="shared" si="26"/>
        <v>531.19099678456598</v>
      </c>
      <c r="K177" s="14">
        <f t="shared" si="27"/>
        <v>828.63671822461333</v>
      </c>
      <c r="L177" s="14">
        <f t="shared" si="28"/>
        <v>111.2357200777586</v>
      </c>
      <c r="M177" s="14">
        <f t="shared" si="29"/>
        <v>297.44572144004735</v>
      </c>
      <c r="N177" s="15">
        <v>51.669200000000004</v>
      </c>
      <c r="O177" s="15">
        <v>25.714599999999997</v>
      </c>
      <c r="P177" s="15">
        <f t="shared" si="30"/>
        <v>25.954600000000006</v>
      </c>
      <c r="Q177" s="2">
        <v>2.1000000000000001E-2</v>
      </c>
      <c r="R177" s="2">
        <v>5.1999999999999998E-2</v>
      </c>
      <c r="S177" s="2">
        <v>0.92700000000000005</v>
      </c>
      <c r="T177" s="18" t="s">
        <v>122</v>
      </c>
    </row>
    <row r="178" spans="1:20" x14ac:dyDescent="0.2">
      <c r="A178">
        <v>20</v>
      </c>
      <c r="B178">
        <v>71</v>
      </c>
      <c r="C178" t="s">
        <v>6</v>
      </c>
      <c r="D178" t="s">
        <v>118</v>
      </c>
      <c r="E178">
        <v>1</v>
      </c>
      <c r="F178" s="14">
        <v>191.40134348410211</v>
      </c>
      <c r="G178" s="14">
        <v>212.47316466196614</v>
      </c>
      <c r="H178" s="14">
        <v>541.62507836990596</v>
      </c>
      <c r="I178" s="14">
        <v>665.07872252177526</v>
      </c>
      <c r="J178" s="14">
        <f t="shared" si="26"/>
        <v>733.02642185400805</v>
      </c>
      <c r="K178" s="14">
        <f t="shared" si="27"/>
        <v>877.55188718374143</v>
      </c>
      <c r="L178" s="14">
        <f t="shared" si="28"/>
        <v>21.071821177864024</v>
      </c>
      <c r="M178" s="14">
        <f t="shared" si="29"/>
        <v>144.52546532973338</v>
      </c>
      <c r="N178" s="15">
        <v>58.745799999999988</v>
      </c>
      <c r="O178" s="15">
        <v>37.557600000000008</v>
      </c>
      <c r="P178" s="15">
        <f t="shared" si="30"/>
        <v>21.188199999999981</v>
      </c>
      <c r="Q178" s="2">
        <v>0.08</v>
      </c>
      <c r="R178" s="2">
        <v>0.10100000000000001</v>
      </c>
      <c r="S178" s="2">
        <v>0.81899999999999995</v>
      </c>
      <c r="T178" s="18" t="s">
        <v>122</v>
      </c>
    </row>
    <row r="179" spans="1:20" x14ac:dyDescent="0.2">
      <c r="A179">
        <v>20</v>
      </c>
      <c r="B179">
        <v>209</v>
      </c>
      <c r="C179" t="s">
        <v>6</v>
      </c>
      <c r="D179" t="s">
        <v>118</v>
      </c>
      <c r="E179">
        <v>2</v>
      </c>
      <c r="F179" s="14">
        <v>65.575629139072888</v>
      </c>
      <c r="G179" s="14">
        <v>87.763028953229522</v>
      </c>
      <c r="H179" s="14">
        <v>366.68821192052985</v>
      </c>
      <c r="I179" s="14">
        <v>328.54877505567924</v>
      </c>
      <c r="J179" s="14">
        <f t="shared" si="26"/>
        <v>432.26384105960273</v>
      </c>
      <c r="K179" s="14">
        <f t="shared" si="27"/>
        <v>416.31180400890878</v>
      </c>
      <c r="L179" s="14">
        <f t="shared" si="28"/>
        <v>22.187399814156635</v>
      </c>
      <c r="M179" s="14">
        <f t="shared" si="29"/>
        <v>-15.952037050693946</v>
      </c>
      <c r="N179" s="15">
        <v>14.961399999999999</v>
      </c>
      <c r="O179" s="15">
        <v>17.1036</v>
      </c>
      <c r="P179" s="15">
        <f t="shared" si="30"/>
        <v>-2.1422000000000008</v>
      </c>
      <c r="Q179" s="2">
        <v>7.4999999999999997E-2</v>
      </c>
      <c r="R179" s="2">
        <v>7.0999999999999994E-2</v>
      </c>
      <c r="S179" s="2">
        <v>0.85399999999999998</v>
      </c>
      <c r="T179" s="18" t="s">
        <v>122</v>
      </c>
    </row>
    <row r="180" spans="1:20" x14ac:dyDescent="0.2">
      <c r="A180">
        <v>20</v>
      </c>
      <c r="B180">
        <v>213</v>
      </c>
      <c r="C180" t="s">
        <v>6</v>
      </c>
      <c r="D180" t="s">
        <v>118</v>
      </c>
      <c r="E180">
        <v>4</v>
      </c>
      <c r="F180" s="14">
        <v>124.77949514563113</v>
      </c>
      <c r="G180" s="14">
        <v>52.985287691187224</v>
      </c>
      <c r="H180" s="14">
        <v>244.85033009708738</v>
      </c>
      <c r="I180" s="14">
        <v>434.92090313182803</v>
      </c>
      <c r="J180" s="14">
        <f t="shared" si="26"/>
        <v>369.62982524271854</v>
      </c>
      <c r="K180" s="14">
        <f t="shared" si="27"/>
        <v>487.90619082301527</v>
      </c>
      <c r="L180" s="14">
        <f t="shared" si="28"/>
        <v>-71.794207454443907</v>
      </c>
      <c r="M180" s="14">
        <f t="shared" si="29"/>
        <v>118.27636558029673</v>
      </c>
      <c r="N180" s="15">
        <v>26.998600000000003</v>
      </c>
      <c r="O180" s="15">
        <v>24.343200000000003</v>
      </c>
      <c r="P180" s="15">
        <f t="shared" si="30"/>
        <v>2.6554000000000002</v>
      </c>
      <c r="Q180" s="2">
        <v>3.6999999999999998E-2</v>
      </c>
      <c r="R180" s="2">
        <v>9.2999999999999999E-2</v>
      </c>
      <c r="S180" s="2">
        <v>0.87</v>
      </c>
      <c r="T180" s="18" t="s">
        <v>122</v>
      </c>
    </row>
    <row r="181" spans="1:20" x14ac:dyDescent="0.2">
      <c r="A181">
        <v>20</v>
      </c>
      <c r="B181">
        <v>305</v>
      </c>
      <c r="C181" t="s">
        <v>6</v>
      </c>
      <c r="D181" t="s">
        <v>118</v>
      </c>
      <c r="E181">
        <v>3</v>
      </c>
      <c r="F181" s="14">
        <v>101.24832989690726</v>
      </c>
      <c r="G181" s="14">
        <v>150.04871794871804</v>
      </c>
      <c r="H181" s="14">
        <v>282.49534020618557</v>
      </c>
      <c r="I181" s="14">
        <v>514.9153846153846</v>
      </c>
      <c r="J181" s="14">
        <f t="shared" si="26"/>
        <v>383.74367010309282</v>
      </c>
      <c r="K181" s="14">
        <f t="shared" si="27"/>
        <v>664.96410256410263</v>
      </c>
      <c r="L181" s="14">
        <f t="shared" si="28"/>
        <v>48.800388051810771</v>
      </c>
      <c r="M181" s="14">
        <f t="shared" si="29"/>
        <v>281.22043246100981</v>
      </c>
      <c r="N181" s="15">
        <v>26.114199999999997</v>
      </c>
      <c r="O181" s="15">
        <v>18.5976</v>
      </c>
      <c r="P181" s="15">
        <f t="shared" si="30"/>
        <v>7.5165999999999968</v>
      </c>
      <c r="Q181" s="2">
        <v>5.8999999999999997E-2</v>
      </c>
      <c r="R181" s="2">
        <v>7.0999999999999994E-2</v>
      </c>
      <c r="S181" s="2">
        <v>0.871</v>
      </c>
      <c r="T181" s="18" t="s">
        <v>122</v>
      </c>
    </row>
    <row r="182" spans="1:20" x14ac:dyDescent="0.2">
      <c r="A182">
        <v>10</v>
      </c>
      <c r="B182">
        <v>22</v>
      </c>
      <c r="C182" t="s">
        <v>1</v>
      </c>
      <c r="D182" t="s">
        <v>115</v>
      </c>
      <c r="E182">
        <v>3</v>
      </c>
      <c r="F182" s="14">
        <v>236.0641083521443</v>
      </c>
      <c r="G182" s="14">
        <v>305.63701067615642</v>
      </c>
      <c r="H182" s="14">
        <v>624.37246049661439</v>
      </c>
      <c r="I182" s="14">
        <v>526.77437722419927</v>
      </c>
      <c r="J182" s="14">
        <f t="shared" si="26"/>
        <v>860.43656884875872</v>
      </c>
      <c r="K182" s="14">
        <f t="shared" si="27"/>
        <v>832.41138790035575</v>
      </c>
      <c r="L182" s="14">
        <f t="shared" si="28"/>
        <v>69.572902324012119</v>
      </c>
      <c r="M182" s="14">
        <f t="shared" si="29"/>
        <v>-28.025180948402976</v>
      </c>
      <c r="N182" s="15">
        <v>65.453720421607386</v>
      </c>
      <c r="O182" s="15">
        <v>59.908022064056929</v>
      </c>
      <c r="P182" s="15">
        <f t="shared" si="30"/>
        <v>5.5456983575504566</v>
      </c>
      <c r="Q182" s="2">
        <v>0.215</v>
      </c>
      <c r="R182" s="2">
        <v>0.24099999999999999</v>
      </c>
      <c r="S182" s="2">
        <v>0.54400000000000004</v>
      </c>
      <c r="T182" s="22" t="s">
        <v>120</v>
      </c>
    </row>
    <row r="183" spans="1:20" x14ac:dyDescent="0.2">
      <c r="A183">
        <v>10</v>
      </c>
      <c r="B183">
        <v>53</v>
      </c>
      <c r="C183" t="s">
        <v>1</v>
      </c>
      <c r="D183" t="s">
        <v>115</v>
      </c>
      <c r="E183">
        <v>2</v>
      </c>
      <c r="F183" s="14">
        <v>158.37657416267874</v>
      </c>
      <c r="G183" s="14">
        <v>250.95785850860355</v>
      </c>
      <c r="H183" s="14">
        <v>246.55693779904294</v>
      </c>
      <c r="I183" s="14">
        <v>863.57323135755234</v>
      </c>
      <c r="J183" s="14">
        <f t="shared" si="26"/>
        <v>404.93351196172171</v>
      </c>
      <c r="K183" s="14">
        <f t="shared" si="27"/>
        <v>1114.531089866156</v>
      </c>
      <c r="L183" s="14">
        <f t="shared" si="28"/>
        <v>92.581284345924814</v>
      </c>
      <c r="M183" s="14">
        <f t="shared" si="29"/>
        <v>709.59757790443427</v>
      </c>
      <c r="N183" s="15">
        <v>35.867372580645167</v>
      </c>
      <c r="O183" s="15">
        <v>25.028732932932932</v>
      </c>
      <c r="P183" s="15">
        <f t="shared" si="30"/>
        <v>10.838639647712235</v>
      </c>
      <c r="Q183" s="2">
        <v>0.16600000000000001</v>
      </c>
      <c r="R183" s="2">
        <v>0.27500000000000002</v>
      </c>
      <c r="S183" s="2">
        <v>0.55900000000000005</v>
      </c>
      <c r="T183" s="22" t="s">
        <v>120</v>
      </c>
    </row>
    <row r="184" spans="1:20" x14ac:dyDescent="0.2">
      <c r="A184">
        <v>10</v>
      </c>
      <c r="B184">
        <v>293</v>
      </c>
      <c r="C184" t="s">
        <v>1</v>
      </c>
      <c r="D184" t="s">
        <v>115</v>
      </c>
      <c r="E184">
        <v>1</v>
      </c>
      <c r="F184" s="14">
        <v>169.36418558736392</v>
      </c>
      <c r="G184" s="14">
        <v>187.67176895306807</v>
      </c>
      <c r="H184" s="14"/>
      <c r="I184" s="14">
        <v>363.85342960288807</v>
      </c>
      <c r="J184" s="14"/>
      <c r="K184" s="14">
        <f t="shared" si="27"/>
        <v>551.52519855595619</v>
      </c>
      <c r="L184" s="14">
        <f t="shared" si="28"/>
        <v>18.307583365704147</v>
      </c>
      <c r="M184" s="14"/>
      <c r="N184" s="15">
        <v>33.628283433133731</v>
      </c>
      <c r="O184" s="15">
        <v>31.42100806451613</v>
      </c>
      <c r="P184" s="15">
        <f t="shared" si="30"/>
        <v>2.2072753686176014</v>
      </c>
      <c r="Q184" s="2">
        <v>0.20100000000000001</v>
      </c>
      <c r="R184" s="2">
        <v>0.247</v>
      </c>
      <c r="S184" s="2">
        <v>0.55200000000000005</v>
      </c>
      <c r="T184" s="22" t="s">
        <v>120</v>
      </c>
    </row>
    <row r="185" spans="1:20" x14ac:dyDescent="0.2">
      <c r="A185">
        <v>20</v>
      </c>
      <c r="B185">
        <v>299</v>
      </c>
      <c r="C185" t="s">
        <v>1</v>
      </c>
      <c r="D185" t="s">
        <v>115</v>
      </c>
      <c r="E185">
        <v>4</v>
      </c>
      <c r="F185" s="14">
        <v>218.27676894176588</v>
      </c>
      <c r="G185" s="14">
        <v>289.84330660086374</v>
      </c>
      <c r="H185" s="14">
        <v>501.08753913587964</v>
      </c>
      <c r="I185" s="14">
        <v>693.75397902529289</v>
      </c>
      <c r="J185" s="14">
        <f t="shared" ref="J185:J216" si="31">F185+H185</f>
        <v>719.36430807764555</v>
      </c>
      <c r="K185" s="14">
        <f t="shared" si="27"/>
        <v>983.59728562615669</v>
      </c>
      <c r="L185" s="14">
        <f t="shared" si="28"/>
        <v>71.566537659097861</v>
      </c>
      <c r="M185" s="14">
        <f t="shared" ref="M185:M202" si="32">K185-J185</f>
        <v>264.23297754851114</v>
      </c>
      <c r="N185" s="15">
        <v>96.014200000000002</v>
      </c>
      <c r="O185" s="15">
        <v>68.112000000000009</v>
      </c>
      <c r="P185" s="15">
        <f t="shared" si="30"/>
        <v>27.902199999999993</v>
      </c>
      <c r="Q185" s="2">
        <v>0.17399999999999999</v>
      </c>
      <c r="R185" s="2">
        <v>0.20699999999999999</v>
      </c>
      <c r="S185" s="2">
        <v>0.61899999999999999</v>
      </c>
      <c r="T185" s="22" t="s">
        <v>120</v>
      </c>
    </row>
    <row r="186" spans="1:20" x14ac:dyDescent="0.2">
      <c r="A186">
        <v>20</v>
      </c>
      <c r="B186">
        <v>38</v>
      </c>
      <c r="C186" t="s">
        <v>1</v>
      </c>
      <c r="D186" t="s">
        <v>117</v>
      </c>
      <c r="E186">
        <v>4</v>
      </c>
      <c r="F186" s="14">
        <v>577.82849905003184</v>
      </c>
      <c r="G186" s="14">
        <v>713.49547534316218</v>
      </c>
      <c r="H186" s="14">
        <v>980.96466117796058</v>
      </c>
      <c r="I186" s="14">
        <v>929.23924758515477</v>
      </c>
      <c r="J186" s="14">
        <f t="shared" si="31"/>
        <v>1558.7931602279923</v>
      </c>
      <c r="K186" s="14">
        <f t="shared" si="27"/>
        <v>1642.7347229283168</v>
      </c>
      <c r="L186" s="14">
        <f t="shared" si="28"/>
        <v>135.66697629313035</v>
      </c>
      <c r="M186" s="14">
        <f t="shared" si="32"/>
        <v>83.941562700324539</v>
      </c>
      <c r="N186" s="15">
        <v>179.22740000000002</v>
      </c>
      <c r="O186" s="15">
        <v>173.43519999999998</v>
      </c>
      <c r="P186" s="15">
        <f t="shared" si="30"/>
        <v>5.7922000000000367</v>
      </c>
      <c r="Q186" s="2">
        <v>0.113</v>
      </c>
      <c r="R186" s="2">
        <v>0.184</v>
      </c>
      <c r="S186" s="2">
        <v>0.70199999999999996</v>
      </c>
      <c r="T186" s="22" t="s">
        <v>120</v>
      </c>
    </row>
    <row r="187" spans="1:20" x14ac:dyDescent="0.2">
      <c r="A187">
        <v>20</v>
      </c>
      <c r="B187">
        <v>81</v>
      </c>
      <c r="C187" t="s">
        <v>1</v>
      </c>
      <c r="D187" t="s">
        <v>117</v>
      </c>
      <c r="E187">
        <v>1</v>
      </c>
      <c r="F187" s="14">
        <v>280.09822784810132</v>
      </c>
      <c r="G187" s="14">
        <v>526.0760330578513</v>
      </c>
      <c r="H187" s="14">
        <v>579.38126582278483</v>
      </c>
      <c r="I187" s="14">
        <v>938.45797838525107</v>
      </c>
      <c r="J187" s="14">
        <f t="shared" si="31"/>
        <v>859.47949367088609</v>
      </c>
      <c r="K187" s="14">
        <f t="shared" ref="K187:K202" si="33">G187+I187</f>
        <v>1464.5340114431024</v>
      </c>
      <c r="L187" s="14">
        <f t="shared" ref="L187:L202" si="34">G187-F187</f>
        <v>245.97780520974999</v>
      </c>
      <c r="M187" s="14">
        <f t="shared" si="32"/>
        <v>605.05451777221629</v>
      </c>
      <c r="N187" s="15">
        <v>162.15699999999998</v>
      </c>
      <c r="O187" s="15">
        <v>147.90119999999999</v>
      </c>
      <c r="P187" s="15">
        <f t="shared" si="30"/>
        <v>14.255799999999994</v>
      </c>
      <c r="Q187" s="2">
        <v>0.249</v>
      </c>
      <c r="R187" s="2">
        <v>0.35699999999999998</v>
      </c>
      <c r="S187" s="2">
        <v>0.39400000000000002</v>
      </c>
      <c r="T187" s="22" t="s">
        <v>120</v>
      </c>
    </row>
    <row r="188" spans="1:20" x14ac:dyDescent="0.2">
      <c r="A188">
        <v>10</v>
      </c>
      <c r="B188">
        <v>130</v>
      </c>
      <c r="C188" t="s">
        <v>1</v>
      </c>
      <c r="D188" t="s">
        <v>117</v>
      </c>
      <c r="E188">
        <v>3</v>
      </c>
      <c r="F188" s="14">
        <v>638.65925133689802</v>
      </c>
      <c r="G188" s="14">
        <v>731.21052631578925</v>
      </c>
      <c r="H188" s="14">
        <v>1081.1820320855618</v>
      </c>
      <c r="I188" s="14">
        <v>1187.2200000000003</v>
      </c>
      <c r="J188" s="14">
        <f t="shared" si="31"/>
        <v>1719.8412834224598</v>
      </c>
      <c r="K188" s="14">
        <f t="shared" si="33"/>
        <v>1918.4305263157894</v>
      </c>
      <c r="L188" s="14">
        <f t="shared" si="34"/>
        <v>92.551274978891229</v>
      </c>
      <c r="M188" s="14">
        <f t="shared" si="32"/>
        <v>198.58924289332958</v>
      </c>
      <c r="N188" s="15">
        <v>148.44372785571136</v>
      </c>
      <c r="O188" s="15">
        <v>147.42773388429754</v>
      </c>
      <c r="P188" s="15">
        <f t="shared" si="30"/>
        <v>1.0159939714138204</v>
      </c>
      <c r="Q188" s="2">
        <v>0.114</v>
      </c>
      <c r="R188" s="2">
        <v>0.218</v>
      </c>
      <c r="S188" s="2">
        <v>0.66800000000000004</v>
      </c>
      <c r="T188" s="22" t="s">
        <v>120</v>
      </c>
    </row>
    <row r="189" spans="1:20" x14ac:dyDescent="0.2">
      <c r="A189">
        <v>20</v>
      </c>
      <c r="B189">
        <v>310</v>
      </c>
      <c r="C189" t="s">
        <v>1</v>
      </c>
      <c r="D189" t="s">
        <v>117</v>
      </c>
      <c r="E189">
        <v>2</v>
      </c>
      <c r="F189" s="14">
        <v>379.57459940652836</v>
      </c>
      <c r="G189" s="14">
        <v>416.71864406779667</v>
      </c>
      <c r="H189" s="14">
        <v>653.01222551928777</v>
      </c>
      <c r="I189" s="14">
        <v>717.36497175141233</v>
      </c>
      <c r="J189" s="14">
        <f t="shared" si="31"/>
        <v>1032.586824925816</v>
      </c>
      <c r="K189" s="14">
        <f t="shared" si="33"/>
        <v>1134.0836158192089</v>
      </c>
      <c r="L189" s="14">
        <f t="shared" si="34"/>
        <v>37.14404466126831</v>
      </c>
      <c r="M189" s="14">
        <f t="shared" si="32"/>
        <v>101.49679089339293</v>
      </c>
      <c r="N189" s="15">
        <v>132.55699999999999</v>
      </c>
      <c r="O189" s="15">
        <v>124.69119999999998</v>
      </c>
      <c r="P189" s="15">
        <f t="shared" si="30"/>
        <v>7.8658000000000072</v>
      </c>
      <c r="Q189" s="2">
        <v>0.23899999999999999</v>
      </c>
      <c r="R189" s="2">
        <v>0.36099999999999999</v>
      </c>
      <c r="S189" s="2">
        <v>0.4</v>
      </c>
      <c r="T189" s="22" t="s">
        <v>120</v>
      </c>
    </row>
    <row r="190" spans="1:20" x14ac:dyDescent="0.2">
      <c r="A190">
        <v>20</v>
      </c>
      <c r="B190">
        <v>84</v>
      </c>
      <c r="C190" t="s">
        <v>1</v>
      </c>
      <c r="D190" t="s">
        <v>116</v>
      </c>
      <c r="E190">
        <v>3</v>
      </c>
      <c r="F190" s="14">
        <v>702.35121951219526</v>
      </c>
      <c r="G190" s="14">
        <v>589.05186060248093</v>
      </c>
      <c r="H190" s="14">
        <v>798.46243902439028</v>
      </c>
      <c r="I190" s="14">
        <v>1006.2223272297695</v>
      </c>
      <c r="J190" s="14">
        <f t="shared" si="31"/>
        <v>1500.8136585365855</v>
      </c>
      <c r="K190" s="14">
        <f t="shared" si="33"/>
        <v>1595.2741878322504</v>
      </c>
      <c r="L190" s="14">
        <f t="shared" si="34"/>
        <v>-113.29935890971433</v>
      </c>
      <c r="M190" s="14">
        <f t="shared" si="32"/>
        <v>94.460529295664855</v>
      </c>
      <c r="N190" s="15">
        <v>169.31700000000001</v>
      </c>
      <c r="O190" s="15">
        <v>158.78960000000001</v>
      </c>
      <c r="P190" s="15">
        <f t="shared" si="30"/>
        <v>10.5274</v>
      </c>
      <c r="Q190" s="2">
        <v>0.19700000000000001</v>
      </c>
      <c r="R190" s="2">
        <v>0.307</v>
      </c>
      <c r="S190" s="2">
        <v>0.496</v>
      </c>
      <c r="T190" s="22" t="s">
        <v>120</v>
      </c>
    </row>
    <row r="191" spans="1:20" x14ac:dyDescent="0.2">
      <c r="A191">
        <v>10</v>
      </c>
      <c r="B191">
        <v>164</v>
      </c>
      <c r="C191" t="s">
        <v>1</v>
      </c>
      <c r="D191" t="s">
        <v>116</v>
      </c>
      <c r="E191">
        <v>4</v>
      </c>
      <c r="F191" s="14">
        <v>451.02585533869029</v>
      </c>
      <c r="G191" s="14">
        <v>479.31038883349913</v>
      </c>
      <c r="H191" s="14">
        <v>678.62686567164144</v>
      </c>
      <c r="I191" s="14">
        <v>770.64406779661022</v>
      </c>
      <c r="J191" s="14">
        <f t="shared" si="31"/>
        <v>1129.6527210103318</v>
      </c>
      <c r="K191" s="14">
        <f t="shared" si="33"/>
        <v>1249.9544566301092</v>
      </c>
      <c r="L191" s="14">
        <f t="shared" si="34"/>
        <v>28.284533494808841</v>
      </c>
      <c r="M191" s="14">
        <f t="shared" si="32"/>
        <v>120.30173561977745</v>
      </c>
      <c r="N191" s="15">
        <v>106.52337592592593</v>
      </c>
      <c r="O191" s="15">
        <v>99.321642670537017</v>
      </c>
      <c r="P191" s="15">
        <f t="shared" si="30"/>
        <v>7.2017332553889162</v>
      </c>
      <c r="Q191" s="2">
        <v>0.23300000000000001</v>
      </c>
      <c r="R191" s="2">
        <v>0.29199999999999998</v>
      </c>
      <c r="S191" s="2">
        <v>0.47499999999999998</v>
      </c>
      <c r="T191" s="22" t="s">
        <v>120</v>
      </c>
    </row>
    <row r="192" spans="1:20" x14ac:dyDescent="0.2">
      <c r="A192">
        <v>10</v>
      </c>
      <c r="B192">
        <v>221</v>
      </c>
      <c r="C192" t="s">
        <v>1</v>
      </c>
      <c r="D192" t="s">
        <v>116</v>
      </c>
      <c r="E192">
        <v>2</v>
      </c>
      <c r="F192" s="14">
        <v>194.29889014722499</v>
      </c>
      <c r="G192" s="14">
        <v>253.51854545454503</v>
      </c>
      <c r="H192" s="14">
        <v>497.76217440543576</v>
      </c>
      <c r="I192" s="14">
        <v>613.12909090909056</v>
      </c>
      <c r="J192" s="14">
        <f t="shared" si="31"/>
        <v>692.06106455266081</v>
      </c>
      <c r="K192" s="14">
        <f t="shared" si="33"/>
        <v>866.64763636363557</v>
      </c>
      <c r="L192" s="14">
        <f t="shared" si="34"/>
        <v>59.219655307320039</v>
      </c>
      <c r="M192" s="14">
        <f t="shared" si="32"/>
        <v>174.58657181097476</v>
      </c>
      <c r="N192" s="15">
        <v>52.899569948186517</v>
      </c>
      <c r="O192" s="15">
        <v>47.983076433121035</v>
      </c>
      <c r="P192" s="15">
        <f t="shared" si="30"/>
        <v>4.9164935150654827</v>
      </c>
      <c r="Q192" s="2">
        <v>0.34399999999999997</v>
      </c>
      <c r="R192" s="2">
        <v>0.372</v>
      </c>
      <c r="S192" s="2">
        <v>0.28499999999999998</v>
      </c>
      <c r="T192" s="22" t="s">
        <v>120</v>
      </c>
    </row>
    <row r="193" spans="1:20" x14ac:dyDescent="0.2">
      <c r="A193">
        <v>10</v>
      </c>
      <c r="B193">
        <v>246</v>
      </c>
      <c r="C193" t="s">
        <v>1</v>
      </c>
      <c r="D193" t="s">
        <v>116</v>
      </c>
      <c r="E193">
        <v>1</v>
      </c>
      <c r="F193" s="14">
        <v>266.0872398190042</v>
      </c>
      <c r="G193" s="14">
        <v>236.81249999999986</v>
      </c>
      <c r="H193" s="14">
        <v>486.91221719457019</v>
      </c>
      <c r="I193" s="14">
        <v>1029.4378676470587</v>
      </c>
      <c r="J193" s="14">
        <f t="shared" si="31"/>
        <v>752.99945701357433</v>
      </c>
      <c r="K193" s="14">
        <f t="shared" si="33"/>
        <v>1266.2503676470585</v>
      </c>
      <c r="L193" s="14">
        <f t="shared" si="34"/>
        <v>-29.274739819004338</v>
      </c>
      <c r="M193" s="14">
        <f t="shared" si="32"/>
        <v>513.25091063348418</v>
      </c>
      <c r="N193" s="15">
        <v>37.435685828343324</v>
      </c>
      <c r="O193" s="15">
        <v>42.780396407185634</v>
      </c>
      <c r="P193" s="15">
        <f t="shared" si="30"/>
        <v>-5.3447105788423102</v>
      </c>
      <c r="Q193" s="2">
        <v>0.13500000000000001</v>
      </c>
      <c r="R193" s="2">
        <v>0.217</v>
      </c>
      <c r="S193" s="2">
        <v>0.64800000000000002</v>
      </c>
      <c r="T193" s="22" t="s">
        <v>120</v>
      </c>
    </row>
    <row r="194" spans="1:20" x14ac:dyDescent="0.2">
      <c r="A194">
        <v>20</v>
      </c>
      <c r="B194">
        <v>99</v>
      </c>
      <c r="C194" t="s">
        <v>1</v>
      </c>
      <c r="D194" t="s">
        <v>118</v>
      </c>
      <c r="E194">
        <v>4</v>
      </c>
      <c r="F194" s="14">
        <v>327.8232701178884</v>
      </c>
      <c r="G194" s="14">
        <v>524.04876510772476</v>
      </c>
      <c r="H194" s="14">
        <v>573.30230650948226</v>
      </c>
      <c r="I194" s="14">
        <v>645.10562270099831</v>
      </c>
      <c r="J194" s="14">
        <f t="shared" si="31"/>
        <v>901.12557662737072</v>
      </c>
      <c r="K194" s="14">
        <f t="shared" si="33"/>
        <v>1169.1543878087232</v>
      </c>
      <c r="L194" s="14">
        <f t="shared" si="34"/>
        <v>196.22549498983636</v>
      </c>
      <c r="M194" s="14">
        <f t="shared" si="32"/>
        <v>268.02881118135247</v>
      </c>
      <c r="N194" s="15">
        <v>94.761800000000008</v>
      </c>
      <c r="O194" s="15">
        <v>96.51639999999999</v>
      </c>
      <c r="P194" s="15">
        <f t="shared" si="30"/>
        <v>-1.7545999999999822</v>
      </c>
      <c r="Q194" s="2">
        <v>0.186</v>
      </c>
      <c r="R194" s="2">
        <v>0.248</v>
      </c>
      <c r="S194" s="2">
        <v>0.56599999999999995</v>
      </c>
      <c r="T194" s="22" t="s">
        <v>120</v>
      </c>
    </row>
    <row r="195" spans="1:20" x14ac:dyDescent="0.2">
      <c r="A195">
        <v>20</v>
      </c>
      <c r="B195">
        <v>124</v>
      </c>
      <c r="C195" t="s">
        <v>1</v>
      </c>
      <c r="D195" t="s">
        <v>118</v>
      </c>
      <c r="E195">
        <v>2</v>
      </c>
      <c r="F195" s="14">
        <v>630.43376822716834</v>
      </c>
      <c r="G195" s="14">
        <v>759.26765655261477</v>
      </c>
      <c r="H195" s="14">
        <v>1123.6144282425171</v>
      </c>
      <c r="I195" s="14">
        <v>1391.3384118786312</v>
      </c>
      <c r="J195" s="14">
        <f t="shared" si="31"/>
        <v>1754.0481964696855</v>
      </c>
      <c r="K195" s="14">
        <f t="shared" si="33"/>
        <v>2150.6060684312461</v>
      </c>
      <c r="L195" s="14">
        <f t="shared" si="34"/>
        <v>128.83388832544642</v>
      </c>
      <c r="M195" s="14">
        <f t="shared" si="32"/>
        <v>396.55787196156052</v>
      </c>
      <c r="N195" s="15">
        <v>169.69499999999999</v>
      </c>
      <c r="O195" s="15">
        <v>3.583599999999997</v>
      </c>
      <c r="P195" s="15">
        <f t="shared" si="30"/>
        <v>166.1114</v>
      </c>
      <c r="Q195" s="2">
        <v>0.16800000000000001</v>
      </c>
      <c r="R195" s="2">
        <v>0.21099999999999999</v>
      </c>
      <c r="S195" s="2">
        <v>0.621</v>
      </c>
      <c r="T195" s="22" t="s">
        <v>120</v>
      </c>
    </row>
    <row r="196" spans="1:20" x14ac:dyDescent="0.2">
      <c r="A196">
        <v>10</v>
      </c>
      <c r="B196">
        <v>187</v>
      </c>
      <c r="C196" t="s">
        <v>1</v>
      </c>
      <c r="D196" t="s">
        <v>118</v>
      </c>
      <c r="E196">
        <v>1</v>
      </c>
      <c r="F196" s="14">
        <v>445.17623762376184</v>
      </c>
      <c r="G196" s="14">
        <v>478.61052631578895</v>
      </c>
      <c r="H196" s="14">
        <v>1538.1089108910887</v>
      </c>
      <c r="I196" s="14">
        <v>1655.1947368421052</v>
      </c>
      <c r="J196" s="14">
        <f t="shared" si="31"/>
        <v>1983.2851485148506</v>
      </c>
      <c r="K196" s="14">
        <f t="shared" si="33"/>
        <v>2133.8052631578939</v>
      </c>
      <c r="L196" s="14">
        <f t="shared" si="34"/>
        <v>33.43428869202711</v>
      </c>
      <c r="M196" s="14">
        <f t="shared" si="32"/>
        <v>150.52011464304337</v>
      </c>
      <c r="N196" s="15"/>
      <c r="O196" s="15">
        <v>42.601531620553345</v>
      </c>
      <c r="P196" s="15"/>
      <c r="Q196" s="2">
        <v>0.17100000000000001</v>
      </c>
      <c r="R196" s="2">
        <v>0.253</v>
      </c>
      <c r="S196" s="2">
        <v>0.57599999999999996</v>
      </c>
      <c r="T196" s="22" t="s">
        <v>120</v>
      </c>
    </row>
    <row r="197" spans="1:20" x14ac:dyDescent="0.2">
      <c r="A197">
        <v>10</v>
      </c>
      <c r="B197">
        <v>266</v>
      </c>
      <c r="C197" t="s">
        <v>1</v>
      </c>
      <c r="D197" t="s">
        <v>118</v>
      </c>
      <c r="E197">
        <v>3</v>
      </c>
      <c r="F197" s="14">
        <v>407.72480705622894</v>
      </c>
      <c r="G197" s="14">
        <v>397.53442622950729</v>
      </c>
      <c r="H197" s="14">
        <v>616.60022050716611</v>
      </c>
      <c r="I197" s="14">
        <v>1045.1842622950817</v>
      </c>
      <c r="J197" s="14">
        <f t="shared" si="31"/>
        <v>1024.325027563395</v>
      </c>
      <c r="K197" s="14">
        <f t="shared" si="33"/>
        <v>1442.718688524589</v>
      </c>
      <c r="L197" s="14">
        <f t="shared" si="34"/>
        <v>-10.19038082672165</v>
      </c>
      <c r="M197" s="14">
        <f t="shared" si="32"/>
        <v>418.39366096119397</v>
      </c>
      <c r="N197" s="15">
        <v>85.339856288916579</v>
      </c>
      <c r="O197" s="15">
        <v>82.354598537477173</v>
      </c>
      <c r="P197" s="15">
        <f t="shared" ref="P197:P228" si="35">N197-O197</f>
        <v>2.9852577514394056</v>
      </c>
      <c r="Q197" s="2">
        <v>0.26500000000000001</v>
      </c>
      <c r="R197" s="2">
        <v>0.4</v>
      </c>
      <c r="S197" s="2">
        <v>0.33500000000000002</v>
      </c>
      <c r="T197" s="22" t="s">
        <v>120</v>
      </c>
    </row>
    <row r="198" spans="1:20" x14ac:dyDescent="0.2">
      <c r="A198">
        <v>10</v>
      </c>
      <c r="B198">
        <v>24</v>
      </c>
      <c r="C198" t="s">
        <v>11</v>
      </c>
      <c r="D198" t="s">
        <v>115</v>
      </c>
      <c r="E198">
        <v>3</v>
      </c>
      <c r="F198" s="14">
        <v>185.96319018404841</v>
      </c>
      <c r="G198" s="14">
        <v>181.67290640394054</v>
      </c>
      <c r="H198" s="14">
        <v>452.95319894829049</v>
      </c>
      <c r="I198" s="14">
        <v>379.52216748768438</v>
      </c>
      <c r="J198" s="14">
        <f t="shared" si="31"/>
        <v>638.91638913233896</v>
      </c>
      <c r="K198" s="14">
        <f t="shared" si="33"/>
        <v>561.19507389162493</v>
      </c>
      <c r="L198" s="14">
        <f t="shared" si="34"/>
        <v>-4.2902837801078704</v>
      </c>
      <c r="M198" s="14">
        <f t="shared" si="32"/>
        <v>-77.721315240714034</v>
      </c>
      <c r="N198" s="15">
        <v>18.09248217982821</v>
      </c>
      <c r="O198" s="15">
        <v>24.525801765020667</v>
      </c>
      <c r="P198" s="15">
        <f t="shared" si="35"/>
        <v>-6.4333195851924572</v>
      </c>
      <c r="Q198" s="2">
        <v>0.18099999999999999</v>
      </c>
      <c r="R198" s="2">
        <v>0.17100000000000001</v>
      </c>
      <c r="S198" s="2">
        <v>0.64800000000000002</v>
      </c>
      <c r="T198" s="19" t="s">
        <v>121</v>
      </c>
    </row>
    <row r="199" spans="1:20" x14ac:dyDescent="0.2">
      <c r="A199">
        <v>10</v>
      </c>
      <c r="B199">
        <v>116</v>
      </c>
      <c r="C199" t="s">
        <v>11</v>
      </c>
      <c r="D199" t="s">
        <v>115</v>
      </c>
      <c r="E199">
        <v>2</v>
      </c>
      <c r="F199" s="14">
        <v>65.373718866303875</v>
      </c>
      <c r="G199" s="14">
        <v>52.408103388054492</v>
      </c>
      <c r="H199" s="14">
        <v>178.18677354709396</v>
      </c>
      <c r="I199" s="14">
        <v>118.57995110024429</v>
      </c>
      <c r="J199" s="14">
        <f t="shared" si="31"/>
        <v>243.56049241339784</v>
      </c>
      <c r="K199" s="14">
        <f t="shared" si="33"/>
        <v>170.98805448829879</v>
      </c>
      <c r="L199" s="14">
        <f t="shared" si="34"/>
        <v>-12.965615478249383</v>
      </c>
      <c r="M199" s="14">
        <f t="shared" si="32"/>
        <v>-72.572437925099052</v>
      </c>
      <c r="N199" s="15">
        <v>6.1696000000000026</v>
      </c>
      <c r="O199" s="15">
        <v>11.2288</v>
      </c>
      <c r="P199" s="15">
        <f t="shared" si="35"/>
        <v>-5.059199999999997</v>
      </c>
      <c r="Q199" s="2">
        <v>6.5000000000000002E-2</v>
      </c>
      <c r="R199" s="2">
        <v>0.113</v>
      </c>
      <c r="S199" s="2">
        <v>0.82199999999999995</v>
      </c>
      <c r="T199" s="19" t="s">
        <v>121</v>
      </c>
    </row>
    <row r="200" spans="1:20" x14ac:dyDescent="0.2">
      <c r="A200">
        <v>20</v>
      </c>
      <c r="B200">
        <v>289</v>
      </c>
      <c r="C200" t="s">
        <v>11</v>
      </c>
      <c r="D200" t="s">
        <v>115</v>
      </c>
      <c r="E200">
        <v>4</v>
      </c>
      <c r="F200" s="14">
        <v>65.697899299766448</v>
      </c>
      <c r="G200" s="14">
        <v>95.078012422360231</v>
      </c>
      <c r="H200" s="14">
        <v>138.47095698566201</v>
      </c>
      <c r="I200" s="14">
        <v>174.15279503105592</v>
      </c>
      <c r="J200" s="14">
        <f t="shared" si="31"/>
        <v>204.16885628542846</v>
      </c>
      <c r="K200" s="14">
        <f t="shared" si="33"/>
        <v>269.23080745341616</v>
      </c>
      <c r="L200" s="14">
        <f t="shared" si="34"/>
        <v>29.380113122593784</v>
      </c>
      <c r="M200" s="14">
        <f t="shared" si="32"/>
        <v>65.061951167987701</v>
      </c>
      <c r="N200" s="15">
        <v>7.5068541149943613</v>
      </c>
      <c r="O200" s="15">
        <v>9.8024541149943651</v>
      </c>
      <c r="P200" s="15">
        <f t="shared" si="35"/>
        <v>-2.2956000000000039</v>
      </c>
      <c r="Q200" s="2">
        <v>6.8000000000000005E-2</v>
      </c>
      <c r="R200" s="2">
        <v>0.189</v>
      </c>
      <c r="S200" s="2">
        <v>0.74299999999999999</v>
      </c>
      <c r="T200" s="19" t="s">
        <v>121</v>
      </c>
    </row>
    <row r="201" spans="1:20" x14ac:dyDescent="0.2">
      <c r="A201">
        <v>20</v>
      </c>
      <c r="B201">
        <v>291</v>
      </c>
      <c r="C201" t="s">
        <v>11</v>
      </c>
      <c r="D201" t="s">
        <v>115</v>
      </c>
      <c r="E201">
        <v>1</v>
      </c>
      <c r="F201" s="14">
        <v>84.647872340425522</v>
      </c>
      <c r="G201" s="14">
        <v>125.5251533742331</v>
      </c>
      <c r="H201" s="14">
        <v>136.04122340425531</v>
      </c>
      <c r="I201" s="14">
        <v>156.20907975460119</v>
      </c>
      <c r="J201" s="14">
        <f t="shared" si="31"/>
        <v>220.68909574468083</v>
      </c>
      <c r="K201" s="14">
        <f t="shared" si="33"/>
        <v>281.73423312883426</v>
      </c>
      <c r="L201" s="14">
        <f t="shared" si="34"/>
        <v>40.877281033807577</v>
      </c>
      <c r="M201" s="14">
        <f t="shared" si="32"/>
        <v>61.045137384153435</v>
      </c>
      <c r="N201" s="15">
        <v>5.1675785234899321</v>
      </c>
      <c r="O201" s="15">
        <v>8.0931785234899358</v>
      </c>
      <c r="P201" s="15">
        <f t="shared" si="35"/>
        <v>-2.9256000000000038</v>
      </c>
      <c r="Q201" s="2">
        <v>4.7E-2</v>
      </c>
      <c r="R201" s="2">
        <v>0.13300000000000001</v>
      </c>
      <c r="S201" s="2">
        <v>0.82</v>
      </c>
      <c r="T201" s="19" t="s">
        <v>121</v>
      </c>
    </row>
    <row r="202" spans="1:20" x14ac:dyDescent="0.2">
      <c r="A202">
        <v>20</v>
      </c>
      <c r="B202">
        <v>128</v>
      </c>
      <c r="C202" t="s">
        <v>11</v>
      </c>
      <c r="D202" t="s">
        <v>117</v>
      </c>
      <c r="E202">
        <v>3</v>
      </c>
      <c r="F202" s="14">
        <v>271.56396396396383</v>
      </c>
      <c r="G202" s="14">
        <v>272.76056338028167</v>
      </c>
      <c r="H202" s="14">
        <v>602.29549549549552</v>
      </c>
      <c r="I202" s="14">
        <v>550.26478873239444</v>
      </c>
      <c r="J202" s="14">
        <f t="shared" si="31"/>
        <v>873.85945945945934</v>
      </c>
      <c r="K202" s="14">
        <f t="shared" si="33"/>
        <v>823.02535211267605</v>
      </c>
      <c r="L202" s="14">
        <f t="shared" si="34"/>
        <v>1.1965994163178379</v>
      </c>
      <c r="M202" s="14">
        <f t="shared" si="32"/>
        <v>-50.834107346783298</v>
      </c>
      <c r="N202" s="15">
        <v>70.75800000000001</v>
      </c>
      <c r="O202" s="15">
        <v>75.115199999999987</v>
      </c>
      <c r="P202" s="15">
        <f t="shared" si="35"/>
        <v>-4.3571999999999775</v>
      </c>
      <c r="Q202" s="2">
        <v>0.111</v>
      </c>
      <c r="R202" s="2">
        <v>0.183</v>
      </c>
      <c r="S202" s="2">
        <v>0.70599999999999996</v>
      </c>
      <c r="T202" s="19" t="s">
        <v>121</v>
      </c>
    </row>
    <row r="203" spans="1:20" x14ac:dyDescent="0.2">
      <c r="A203">
        <v>20</v>
      </c>
      <c r="B203">
        <v>166</v>
      </c>
      <c r="C203" t="s">
        <v>11</v>
      </c>
      <c r="D203" t="s">
        <v>117</v>
      </c>
      <c r="E203">
        <v>2</v>
      </c>
      <c r="F203" s="14">
        <v>122.34568087514148</v>
      </c>
      <c r="G203" s="14"/>
      <c r="H203" s="14">
        <v>268.70313089400224</v>
      </c>
      <c r="I203" s="14">
        <v>408.26475000000005</v>
      </c>
      <c r="J203" s="14">
        <f t="shared" si="31"/>
        <v>391.04881176914375</v>
      </c>
      <c r="K203" s="14"/>
      <c r="L203" s="14"/>
      <c r="M203" s="14"/>
      <c r="N203" s="15">
        <v>43.292400000000008</v>
      </c>
      <c r="O203" s="15">
        <v>38.641199999999998</v>
      </c>
      <c r="P203" s="15">
        <f t="shared" si="35"/>
        <v>4.65120000000001</v>
      </c>
      <c r="Q203" s="2">
        <v>0.04</v>
      </c>
      <c r="R203" s="2">
        <v>0.09</v>
      </c>
      <c r="S203" s="2">
        <v>0.86899999999999999</v>
      </c>
      <c r="T203" s="19" t="s">
        <v>121</v>
      </c>
    </row>
    <row r="204" spans="1:20" x14ac:dyDescent="0.2">
      <c r="A204">
        <v>20</v>
      </c>
      <c r="B204">
        <v>188</v>
      </c>
      <c r="C204" t="s">
        <v>11</v>
      </c>
      <c r="D204" t="s">
        <v>117</v>
      </c>
      <c r="E204">
        <v>1</v>
      </c>
      <c r="F204" s="14">
        <v>350.20787537862401</v>
      </c>
      <c r="G204" s="14">
        <v>402.57279543020348</v>
      </c>
      <c r="H204" s="14">
        <v>615.15915188230213</v>
      </c>
      <c r="I204" s="14">
        <v>648.22877543734376</v>
      </c>
      <c r="J204" s="14">
        <f t="shared" si="31"/>
        <v>965.36702726092608</v>
      </c>
      <c r="K204" s="14">
        <f t="shared" ref="K204:K235" si="36">G204+I204</f>
        <v>1050.8015708675473</v>
      </c>
      <c r="L204" s="14">
        <f t="shared" ref="L204:L235" si="37">G204-F204</f>
        <v>52.364920051579475</v>
      </c>
      <c r="M204" s="14">
        <f t="shared" ref="M204:M235" si="38">K204-J204</f>
        <v>85.434543606621219</v>
      </c>
      <c r="N204" s="15">
        <v>82.353399999999993</v>
      </c>
      <c r="O204" s="15">
        <v>82.681000000000012</v>
      </c>
      <c r="P204" s="15">
        <f t="shared" si="35"/>
        <v>-0.3276000000000181</v>
      </c>
      <c r="Q204" s="2">
        <v>6.2E-2</v>
      </c>
      <c r="R204" s="2">
        <v>0.222</v>
      </c>
      <c r="S204" s="2">
        <v>0.71599999999999997</v>
      </c>
      <c r="T204" s="19" t="s">
        <v>121</v>
      </c>
    </row>
    <row r="205" spans="1:20" x14ac:dyDescent="0.2">
      <c r="A205">
        <v>20</v>
      </c>
      <c r="B205">
        <v>196</v>
      </c>
      <c r="C205" t="s">
        <v>11</v>
      </c>
      <c r="D205" t="s">
        <v>117</v>
      </c>
      <c r="E205">
        <v>4</v>
      </c>
      <c r="F205" s="14">
        <v>301.21358490566024</v>
      </c>
      <c r="G205" s="14">
        <v>385.35119182746871</v>
      </c>
      <c r="H205" s="14">
        <v>514.73207547169807</v>
      </c>
      <c r="I205" s="14">
        <v>622.75505107832009</v>
      </c>
      <c r="J205" s="14">
        <f t="shared" si="31"/>
        <v>815.94566037735831</v>
      </c>
      <c r="K205" s="14">
        <f t="shared" si="36"/>
        <v>1008.1062429057888</v>
      </c>
      <c r="L205" s="14">
        <f t="shared" si="37"/>
        <v>84.137606921808469</v>
      </c>
      <c r="M205" s="14">
        <f t="shared" si="38"/>
        <v>192.1605825284305</v>
      </c>
      <c r="N205" s="15">
        <v>89.215000000000003</v>
      </c>
      <c r="O205" s="15">
        <v>59.353000000000009</v>
      </c>
      <c r="P205" s="15">
        <f t="shared" si="35"/>
        <v>29.861999999999995</v>
      </c>
      <c r="Q205" s="2">
        <v>0.11</v>
      </c>
      <c r="R205" s="2">
        <v>0.17399999999999999</v>
      </c>
      <c r="S205" s="2">
        <v>0.71699999999999997</v>
      </c>
      <c r="T205" s="19" t="s">
        <v>121</v>
      </c>
    </row>
    <row r="206" spans="1:20" x14ac:dyDescent="0.2">
      <c r="A206">
        <v>10</v>
      </c>
      <c r="B206">
        <v>89</v>
      </c>
      <c r="C206" t="s">
        <v>11</v>
      </c>
      <c r="D206" t="s">
        <v>116</v>
      </c>
      <c r="E206">
        <v>3</v>
      </c>
      <c r="F206" s="14">
        <v>136.45273311897074</v>
      </c>
      <c r="G206" s="14">
        <v>242.40365575019015</v>
      </c>
      <c r="H206" s="14">
        <v>398.39324758842446</v>
      </c>
      <c r="I206" s="14">
        <v>793.00624523990871</v>
      </c>
      <c r="J206" s="14">
        <f t="shared" si="31"/>
        <v>534.84598070739526</v>
      </c>
      <c r="K206" s="14">
        <f t="shared" si="36"/>
        <v>1035.4099009900988</v>
      </c>
      <c r="L206" s="14">
        <f t="shared" si="37"/>
        <v>105.95092263121941</v>
      </c>
      <c r="M206" s="14">
        <f t="shared" si="38"/>
        <v>500.56392028270352</v>
      </c>
      <c r="N206" s="15">
        <v>29.306477445109785</v>
      </c>
      <c r="O206" s="15">
        <v>25.449199999999998</v>
      </c>
      <c r="P206" s="15">
        <f t="shared" si="35"/>
        <v>3.8572774451097871</v>
      </c>
      <c r="Q206" s="2">
        <v>7.0000000000000007E-2</v>
      </c>
      <c r="R206" s="2">
        <v>0.21099999999999999</v>
      </c>
      <c r="S206" s="2">
        <v>0.71899999999999997</v>
      </c>
      <c r="T206" s="19" t="s">
        <v>121</v>
      </c>
    </row>
    <row r="207" spans="1:20" x14ac:dyDescent="0.2">
      <c r="A207">
        <v>10</v>
      </c>
      <c r="B207">
        <v>202</v>
      </c>
      <c r="C207" t="s">
        <v>11</v>
      </c>
      <c r="D207" t="s">
        <v>116</v>
      </c>
      <c r="E207">
        <v>2</v>
      </c>
      <c r="F207" s="14">
        <v>167.13631321370272</v>
      </c>
      <c r="G207" s="14">
        <v>263.66478565861212</v>
      </c>
      <c r="H207" s="14">
        <v>237.35334420880889</v>
      </c>
      <c r="I207" s="14">
        <v>342.57521434138721</v>
      </c>
      <c r="J207" s="14">
        <f t="shared" si="31"/>
        <v>404.48965742251164</v>
      </c>
      <c r="K207" s="14">
        <f t="shared" si="36"/>
        <v>606.23999999999933</v>
      </c>
      <c r="L207" s="14">
        <f t="shared" si="37"/>
        <v>96.528472444909397</v>
      </c>
      <c r="M207" s="14">
        <f t="shared" si="38"/>
        <v>201.75034257748769</v>
      </c>
      <c r="N207" s="15">
        <v>32.68972295409182</v>
      </c>
      <c r="O207" s="15">
        <v>26.304199999999998</v>
      </c>
      <c r="P207" s="15">
        <f t="shared" si="35"/>
        <v>6.3855229540918224</v>
      </c>
      <c r="Q207" s="2">
        <v>7.6999999999999999E-2</v>
      </c>
      <c r="R207" s="2">
        <v>0.33100000000000002</v>
      </c>
      <c r="S207" s="2">
        <v>0.59099999999999997</v>
      </c>
      <c r="T207" s="19" t="s">
        <v>121</v>
      </c>
    </row>
    <row r="208" spans="1:20" x14ac:dyDescent="0.2">
      <c r="A208">
        <v>10</v>
      </c>
      <c r="B208">
        <v>265</v>
      </c>
      <c r="C208" t="s">
        <v>11</v>
      </c>
      <c r="D208" t="s">
        <v>116</v>
      </c>
      <c r="E208">
        <v>4</v>
      </c>
      <c r="F208" s="14">
        <v>147.28716417910408</v>
      </c>
      <c r="G208" s="14">
        <v>186.13336870026492</v>
      </c>
      <c r="H208" s="14">
        <v>475.03880597014938</v>
      </c>
      <c r="I208" s="14">
        <v>257.29018567639241</v>
      </c>
      <c r="J208" s="14">
        <f t="shared" si="31"/>
        <v>622.32597014925341</v>
      </c>
      <c r="K208" s="14">
        <f t="shared" si="36"/>
        <v>443.42355437665731</v>
      </c>
      <c r="L208" s="14">
        <f t="shared" si="37"/>
        <v>38.846204521160843</v>
      </c>
      <c r="M208" s="14">
        <f t="shared" si="38"/>
        <v>-178.9024157725961</v>
      </c>
      <c r="N208" s="15">
        <v>17.508673747494992</v>
      </c>
      <c r="O208" s="15">
        <v>23.116255544455548</v>
      </c>
      <c r="P208" s="15">
        <f t="shared" si="35"/>
        <v>-5.6075817969605559</v>
      </c>
      <c r="Q208" s="2">
        <v>5.8999999999999997E-2</v>
      </c>
      <c r="R208" s="2">
        <v>0.22900000000000001</v>
      </c>
      <c r="S208" s="2">
        <v>0.71199999999999997</v>
      </c>
      <c r="T208" s="19" t="s">
        <v>121</v>
      </c>
    </row>
    <row r="209" spans="1:20" x14ac:dyDescent="0.2">
      <c r="A209">
        <v>10</v>
      </c>
      <c r="B209">
        <v>297</v>
      </c>
      <c r="C209" t="s">
        <v>11</v>
      </c>
      <c r="D209" t="s">
        <v>116</v>
      </c>
      <c r="E209">
        <v>1</v>
      </c>
      <c r="F209" s="14">
        <v>245.5146224066383</v>
      </c>
      <c r="G209" s="14">
        <v>238.73637209302279</v>
      </c>
      <c r="H209" s="14">
        <v>525.74340248962642</v>
      </c>
      <c r="I209" s="14">
        <v>380.66232558139512</v>
      </c>
      <c r="J209" s="14">
        <f t="shared" si="31"/>
        <v>771.25802489626471</v>
      </c>
      <c r="K209" s="14">
        <f t="shared" si="36"/>
        <v>619.39869767441792</v>
      </c>
      <c r="L209" s="14">
        <f t="shared" si="37"/>
        <v>-6.7782503136155015</v>
      </c>
      <c r="M209" s="14">
        <f t="shared" si="38"/>
        <v>-151.8593272218468</v>
      </c>
      <c r="N209" s="15">
        <v>45.128600000000013</v>
      </c>
      <c r="O209" s="15">
        <v>36.766999999999996</v>
      </c>
      <c r="P209" s="15">
        <f t="shared" si="35"/>
        <v>8.361600000000017</v>
      </c>
      <c r="Q209" s="2">
        <v>9.1999999999999998E-2</v>
      </c>
      <c r="R209" s="2">
        <v>0.34399999999999997</v>
      </c>
      <c r="S209" s="2">
        <v>0.56399999999999995</v>
      </c>
      <c r="T209" s="19" t="s">
        <v>121</v>
      </c>
    </row>
    <row r="210" spans="1:20" x14ac:dyDescent="0.2">
      <c r="A210">
        <v>20</v>
      </c>
      <c r="B210">
        <v>54</v>
      </c>
      <c r="C210" t="s">
        <v>11</v>
      </c>
      <c r="D210" t="s">
        <v>118</v>
      </c>
      <c r="E210">
        <v>1</v>
      </c>
      <c r="F210" s="14">
        <v>76.919548872180485</v>
      </c>
      <c r="G210" s="14">
        <v>147.60828220858892</v>
      </c>
      <c r="H210" s="14">
        <v>238.35563909774444</v>
      </c>
      <c r="I210" s="14">
        <v>510.23650306748482</v>
      </c>
      <c r="J210" s="14">
        <f t="shared" si="31"/>
        <v>315.2751879699249</v>
      </c>
      <c r="K210" s="14">
        <f t="shared" si="36"/>
        <v>657.84478527607371</v>
      </c>
      <c r="L210" s="14">
        <f t="shared" si="37"/>
        <v>70.688733336408433</v>
      </c>
      <c r="M210" s="14">
        <f t="shared" si="38"/>
        <v>342.56959730614881</v>
      </c>
      <c r="N210" s="15">
        <v>44.495800000000003</v>
      </c>
      <c r="O210" s="15">
        <v>36.070800000000006</v>
      </c>
      <c r="P210" s="15">
        <f t="shared" si="35"/>
        <v>8.4249999999999972</v>
      </c>
      <c r="Q210" s="2">
        <v>6.9000000000000006E-2</v>
      </c>
      <c r="R210" s="2">
        <v>0.20200000000000001</v>
      </c>
      <c r="S210" s="2">
        <v>0.72899999999999998</v>
      </c>
      <c r="T210" s="19" t="s">
        <v>121</v>
      </c>
    </row>
    <row r="211" spans="1:20" x14ac:dyDescent="0.2">
      <c r="A211">
        <v>20</v>
      </c>
      <c r="B211">
        <v>210</v>
      </c>
      <c r="C211" t="s">
        <v>11</v>
      </c>
      <c r="D211" t="s">
        <v>118</v>
      </c>
      <c r="E211">
        <v>2</v>
      </c>
      <c r="F211" s="14">
        <v>144.93442622950806</v>
      </c>
      <c r="G211" s="14">
        <v>171.15873126524912</v>
      </c>
      <c r="H211" s="14">
        <v>393.39344262295089</v>
      </c>
      <c r="I211" s="14">
        <v>361.33509933774832</v>
      </c>
      <c r="J211" s="14">
        <f t="shared" si="31"/>
        <v>538.32786885245901</v>
      </c>
      <c r="K211" s="14">
        <f t="shared" si="36"/>
        <v>532.49383060299738</v>
      </c>
      <c r="L211" s="14">
        <f t="shared" si="37"/>
        <v>26.224305035741054</v>
      </c>
      <c r="M211" s="14">
        <f t="shared" si="38"/>
        <v>-5.8340382494616279</v>
      </c>
      <c r="N211" s="15">
        <v>41.192599999999999</v>
      </c>
      <c r="O211" s="15">
        <v>40.094399999999993</v>
      </c>
      <c r="P211" s="15">
        <f t="shared" si="35"/>
        <v>1.0982000000000056</v>
      </c>
      <c r="Q211" s="2">
        <v>7.2999999999999995E-2</v>
      </c>
      <c r="R211" s="2">
        <v>0.17799999999999999</v>
      </c>
      <c r="S211" s="2">
        <v>0.749</v>
      </c>
      <c r="T211" s="19" t="s">
        <v>121</v>
      </c>
    </row>
    <row r="212" spans="1:20" x14ac:dyDescent="0.2">
      <c r="A212">
        <v>20</v>
      </c>
      <c r="B212">
        <v>214</v>
      </c>
      <c r="C212" t="s">
        <v>11</v>
      </c>
      <c r="D212" t="s">
        <v>118</v>
      </c>
      <c r="E212">
        <v>4</v>
      </c>
      <c r="F212" s="14">
        <v>193.20057943022698</v>
      </c>
      <c r="G212" s="14">
        <v>327.19087018544928</v>
      </c>
      <c r="H212" s="14">
        <v>576.6744567841622</v>
      </c>
      <c r="I212" s="14">
        <v>879.23537803138368</v>
      </c>
      <c r="J212" s="14">
        <f t="shared" si="31"/>
        <v>769.87503621438918</v>
      </c>
      <c r="K212" s="14">
        <f t="shared" si="36"/>
        <v>1206.4262482168328</v>
      </c>
      <c r="L212" s="14">
        <f t="shared" si="37"/>
        <v>133.9902907552223</v>
      </c>
      <c r="M212" s="14">
        <f t="shared" si="38"/>
        <v>436.55121200244366</v>
      </c>
      <c r="N212" s="15">
        <v>105.9898</v>
      </c>
      <c r="O212" s="15">
        <v>69.947799999999987</v>
      </c>
      <c r="P212" s="15">
        <f t="shared" si="35"/>
        <v>36.042000000000016</v>
      </c>
      <c r="Q212" s="2">
        <v>0.11899999999999999</v>
      </c>
      <c r="R212" s="2">
        <v>0.315</v>
      </c>
      <c r="S212" s="2">
        <v>0.56599999999999995</v>
      </c>
      <c r="T212" s="19" t="s">
        <v>121</v>
      </c>
    </row>
    <row r="213" spans="1:20" x14ac:dyDescent="0.2">
      <c r="A213">
        <v>10</v>
      </c>
      <c r="B213">
        <v>242</v>
      </c>
      <c r="C213" t="s">
        <v>11</v>
      </c>
      <c r="D213" t="s">
        <v>118</v>
      </c>
      <c r="E213">
        <v>3</v>
      </c>
      <c r="F213" s="14">
        <v>139.90153846153791</v>
      </c>
      <c r="G213" s="14">
        <v>150.5274186222556</v>
      </c>
      <c r="H213" s="14">
        <v>476.19068255687949</v>
      </c>
      <c r="I213" s="14">
        <v>491.04981074943237</v>
      </c>
      <c r="J213" s="14">
        <f t="shared" si="31"/>
        <v>616.09222101841738</v>
      </c>
      <c r="K213" s="14">
        <f t="shared" si="36"/>
        <v>641.57722937168796</v>
      </c>
      <c r="L213" s="14">
        <f t="shared" si="37"/>
        <v>10.625880160717685</v>
      </c>
      <c r="M213" s="14">
        <f t="shared" si="38"/>
        <v>25.485008353270587</v>
      </c>
      <c r="N213" s="15">
        <v>12.387678642714569</v>
      </c>
      <c r="O213" s="15">
        <v>19.469705570291772</v>
      </c>
      <c r="P213" s="15">
        <f t="shared" si="35"/>
        <v>-7.0820269275772034</v>
      </c>
      <c r="Q213" s="2">
        <v>0.11700000000000001</v>
      </c>
      <c r="R213" s="2">
        <v>0.157</v>
      </c>
      <c r="S213" s="2">
        <v>0.72599999999999998</v>
      </c>
      <c r="T213" s="19" t="s">
        <v>121</v>
      </c>
    </row>
    <row r="214" spans="1:20" x14ac:dyDescent="0.2">
      <c r="A214">
        <v>20</v>
      </c>
      <c r="B214">
        <v>16</v>
      </c>
      <c r="C214" t="s">
        <v>13</v>
      </c>
      <c r="D214" t="s">
        <v>115</v>
      </c>
      <c r="E214">
        <v>4</v>
      </c>
      <c r="F214" s="14">
        <v>248.9727742676622</v>
      </c>
      <c r="G214" s="14">
        <v>407.25609899823206</v>
      </c>
      <c r="H214" s="14">
        <v>391.74037909247556</v>
      </c>
      <c r="I214" s="14">
        <v>712.69817324690632</v>
      </c>
      <c r="J214" s="14">
        <f t="shared" si="31"/>
        <v>640.71315336013777</v>
      </c>
      <c r="K214" s="14">
        <f t="shared" si="36"/>
        <v>1119.9542722451383</v>
      </c>
      <c r="L214" s="14">
        <f t="shared" si="37"/>
        <v>158.28332473056986</v>
      </c>
      <c r="M214" s="14">
        <f t="shared" si="38"/>
        <v>479.24111888500056</v>
      </c>
      <c r="N214" s="15">
        <v>48.785399999999996</v>
      </c>
      <c r="O214" s="15">
        <v>45.257400000000004</v>
      </c>
      <c r="P214" s="15">
        <f t="shared" si="35"/>
        <v>3.5279999999999916</v>
      </c>
      <c r="Q214" s="2">
        <v>0.14699999999999999</v>
      </c>
      <c r="R214" s="2">
        <v>0.186</v>
      </c>
      <c r="S214" s="2">
        <v>0.66700000000000004</v>
      </c>
      <c r="T214" s="23" t="s">
        <v>123</v>
      </c>
    </row>
    <row r="215" spans="1:20" x14ac:dyDescent="0.2">
      <c r="A215">
        <v>10</v>
      </c>
      <c r="B215">
        <v>37</v>
      </c>
      <c r="C215" t="s">
        <v>13</v>
      </c>
      <c r="D215" t="s">
        <v>115</v>
      </c>
      <c r="E215">
        <v>1</v>
      </c>
      <c r="F215" s="14">
        <v>201.03196605374836</v>
      </c>
      <c r="G215" s="14">
        <v>189.97382488479226</v>
      </c>
      <c r="H215" s="14">
        <v>323.46138613861348</v>
      </c>
      <c r="I215" s="14">
        <v>537.79354838709673</v>
      </c>
      <c r="J215" s="14">
        <f t="shared" si="31"/>
        <v>524.49335219236184</v>
      </c>
      <c r="K215" s="14">
        <f t="shared" si="36"/>
        <v>727.76737327188903</v>
      </c>
      <c r="L215" s="14">
        <f t="shared" si="37"/>
        <v>-11.058141168956098</v>
      </c>
      <c r="M215" s="14">
        <f t="shared" si="38"/>
        <v>203.27402107952719</v>
      </c>
      <c r="N215" s="15">
        <v>23.726879314565487</v>
      </c>
      <c r="O215" s="15">
        <v>21.752978846153844</v>
      </c>
      <c r="P215" s="15">
        <f t="shared" si="35"/>
        <v>1.9739004684116424</v>
      </c>
      <c r="Q215" s="2">
        <v>0.13600000000000001</v>
      </c>
      <c r="R215" s="2">
        <v>0.157</v>
      </c>
      <c r="S215" s="2">
        <v>0.70699999999999996</v>
      </c>
      <c r="T215" s="23" t="s">
        <v>123</v>
      </c>
    </row>
    <row r="216" spans="1:20" x14ac:dyDescent="0.2">
      <c r="A216">
        <v>10</v>
      </c>
      <c r="B216">
        <v>256</v>
      </c>
      <c r="C216" t="s">
        <v>13</v>
      </c>
      <c r="D216" t="s">
        <v>115</v>
      </c>
      <c r="E216">
        <v>3</v>
      </c>
      <c r="F216" s="14">
        <v>197.66190114068388</v>
      </c>
      <c r="G216" s="14">
        <v>170.09984602224094</v>
      </c>
      <c r="H216" s="14">
        <v>337.12015209125474</v>
      </c>
      <c r="I216" s="14">
        <v>352.64602224123166</v>
      </c>
      <c r="J216" s="14">
        <f t="shared" si="31"/>
        <v>534.78205323193856</v>
      </c>
      <c r="K216" s="14">
        <f t="shared" si="36"/>
        <v>522.74586826347263</v>
      </c>
      <c r="L216" s="14">
        <f t="shared" si="37"/>
        <v>-27.562055118442942</v>
      </c>
      <c r="M216" s="14">
        <f t="shared" si="38"/>
        <v>-12.036184968465932</v>
      </c>
      <c r="N216" s="15">
        <v>29.601000000000003</v>
      </c>
      <c r="O216" s="15">
        <v>36.706470693512316</v>
      </c>
      <c r="P216" s="15">
        <f t="shared" si="35"/>
        <v>-7.1054706935123129</v>
      </c>
      <c r="Q216" s="2">
        <v>0.11899999999999999</v>
      </c>
      <c r="R216" s="2">
        <v>0.13700000000000001</v>
      </c>
      <c r="S216" s="2">
        <v>0.74399999999999999</v>
      </c>
      <c r="T216" s="23" t="s">
        <v>123</v>
      </c>
    </row>
    <row r="217" spans="1:20" x14ac:dyDescent="0.2">
      <c r="A217">
        <v>10</v>
      </c>
      <c r="B217">
        <v>294</v>
      </c>
      <c r="C217" t="s">
        <v>13</v>
      </c>
      <c r="D217" t="s">
        <v>115</v>
      </c>
      <c r="E217">
        <v>2</v>
      </c>
      <c r="F217" s="14">
        <v>181.93697749196096</v>
      </c>
      <c r="G217" s="14">
        <v>283.28971962616771</v>
      </c>
      <c r="H217" s="14">
        <v>388.24051446945288</v>
      </c>
      <c r="I217" s="14">
        <v>511.49532710280369</v>
      </c>
      <c r="J217" s="14">
        <f t="shared" ref="J217:J248" si="39">F217+H217</f>
        <v>570.17749196141381</v>
      </c>
      <c r="K217" s="14">
        <f t="shared" si="36"/>
        <v>794.78504672897134</v>
      </c>
      <c r="L217" s="14">
        <f t="shared" si="37"/>
        <v>101.35274213420675</v>
      </c>
      <c r="M217" s="14">
        <f t="shared" si="38"/>
        <v>224.60755476755753</v>
      </c>
      <c r="N217" s="15">
        <v>19.246971376985798</v>
      </c>
      <c r="O217" s="15">
        <v>19.917130882052831</v>
      </c>
      <c r="P217" s="15">
        <f t="shared" si="35"/>
        <v>-0.67015950506703348</v>
      </c>
      <c r="Q217" s="2">
        <v>0.26</v>
      </c>
      <c r="R217" s="2">
        <v>0.23</v>
      </c>
      <c r="S217" s="2">
        <v>0.51</v>
      </c>
      <c r="T217" s="23" t="s">
        <v>123</v>
      </c>
    </row>
    <row r="218" spans="1:20" x14ac:dyDescent="0.2">
      <c r="A218">
        <v>20</v>
      </c>
      <c r="B218">
        <v>11</v>
      </c>
      <c r="C218" t="s">
        <v>13</v>
      </c>
      <c r="D218" t="s">
        <v>117</v>
      </c>
      <c r="E218">
        <v>4</v>
      </c>
      <c r="F218" s="14">
        <v>365.38450184501824</v>
      </c>
      <c r="G218" s="14">
        <v>314.33305033353531</v>
      </c>
      <c r="H218" s="14">
        <v>988.02952029520281</v>
      </c>
      <c r="I218" s="14">
        <v>586.38738629472425</v>
      </c>
      <c r="J218" s="14">
        <f t="shared" si="39"/>
        <v>1353.414022140221</v>
      </c>
      <c r="K218" s="14">
        <f t="shared" si="36"/>
        <v>900.72043662825956</v>
      </c>
      <c r="L218" s="14">
        <f t="shared" si="37"/>
        <v>-51.051451511482924</v>
      </c>
      <c r="M218" s="14">
        <f t="shared" si="38"/>
        <v>-452.69358551196149</v>
      </c>
      <c r="N218" s="15">
        <v>57.284400000000005</v>
      </c>
      <c r="O218" s="15">
        <v>63.693600000000004</v>
      </c>
      <c r="P218" s="15">
        <f t="shared" si="35"/>
        <v>-6.4091999999999985</v>
      </c>
      <c r="Q218" s="2">
        <v>0.153</v>
      </c>
      <c r="R218" s="2">
        <v>0.216</v>
      </c>
      <c r="S218" s="2">
        <v>0.63100000000000001</v>
      </c>
      <c r="T218" s="23" t="s">
        <v>123</v>
      </c>
    </row>
    <row r="219" spans="1:20" x14ac:dyDescent="0.2">
      <c r="A219">
        <v>20</v>
      </c>
      <c r="B219">
        <v>59</v>
      </c>
      <c r="C219" t="s">
        <v>13</v>
      </c>
      <c r="D219" t="s">
        <v>117</v>
      </c>
      <c r="E219">
        <v>2</v>
      </c>
      <c r="F219" s="14">
        <v>560.71648351648344</v>
      </c>
      <c r="G219" s="14">
        <v>688.90909090909076</v>
      </c>
      <c r="H219" s="14">
        <v>869.75824175824175</v>
      </c>
      <c r="I219" s="14">
        <v>1016.1409090909091</v>
      </c>
      <c r="J219" s="14">
        <f t="shared" si="39"/>
        <v>1430.4747252747252</v>
      </c>
      <c r="K219" s="14">
        <f t="shared" si="36"/>
        <v>1705.0499999999997</v>
      </c>
      <c r="L219" s="14">
        <f t="shared" si="37"/>
        <v>128.19260739260733</v>
      </c>
      <c r="M219" s="14">
        <f t="shared" si="38"/>
        <v>274.57527472527454</v>
      </c>
      <c r="N219" s="15">
        <v>83.777000000000001</v>
      </c>
      <c r="O219" s="15">
        <v>82.890200000000007</v>
      </c>
      <c r="P219" s="15">
        <f t="shared" si="35"/>
        <v>0.88679999999999382</v>
      </c>
      <c r="Q219" s="2">
        <v>0.17199999999999999</v>
      </c>
      <c r="R219" s="2">
        <v>0.19700000000000001</v>
      </c>
      <c r="S219" s="2">
        <v>0.63100000000000001</v>
      </c>
      <c r="T219" s="23" t="s">
        <v>123</v>
      </c>
    </row>
    <row r="220" spans="1:20" x14ac:dyDescent="0.2">
      <c r="A220">
        <v>20</v>
      </c>
      <c r="B220">
        <v>79</v>
      </c>
      <c r="C220" t="s">
        <v>13</v>
      </c>
      <c r="D220" t="s">
        <v>117</v>
      </c>
      <c r="E220">
        <v>1</v>
      </c>
      <c r="F220" s="14">
        <v>580.92219679633854</v>
      </c>
      <c r="G220" s="14">
        <v>689.61971346704865</v>
      </c>
      <c r="H220" s="14">
        <v>922.53913043478246</v>
      </c>
      <c r="I220" s="14">
        <v>889.38361031518627</v>
      </c>
      <c r="J220" s="14">
        <f t="shared" si="39"/>
        <v>1503.461327231121</v>
      </c>
      <c r="K220" s="14">
        <f t="shared" si="36"/>
        <v>1579.0033237822349</v>
      </c>
      <c r="L220" s="14">
        <f t="shared" si="37"/>
        <v>108.69751667071012</v>
      </c>
      <c r="M220" s="14">
        <f t="shared" si="38"/>
        <v>75.541996551113925</v>
      </c>
      <c r="N220" s="15">
        <v>92.933999999999997</v>
      </c>
      <c r="O220" s="15">
        <v>99.681600000000003</v>
      </c>
      <c r="P220" s="15">
        <f t="shared" si="35"/>
        <v>-6.7476000000000056</v>
      </c>
      <c r="Q220" s="2">
        <v>0.18099999999999999</v>
      </c>
      <c r="R220" s="2">
        <v>0.184</v>
      </c>
      <c r="S220" s="2">
        <v>0.63500000000000001</v>
      </c>
      <c r="T220" s="23" t="s">
        <v>123</v>
      </c>
    </row>
    <row r="221" spans="1:20" x14ac:dyDescent="0.2">
      <c r="A221">
        <v>20</v>
      </c>
      <c r="B221">
        <v>181</v>
      </c>
      <c r="C221" t="s">
        <v>13</v>
      </c>
      <c r="D221" t="s">
        <v>117</v>
      </c>
      <c r="E221">
        <v>3</v>
      </c>
      <c r="F221" s="14">
        <v>655.48832951945064</v>
      </c>
      <c r="G221" s="14">
        <v>732.3704697986575</v>
      </c>
      <c r="H221" s="14">
        <v>849.70709382151028</v>
      </c>
      <c r="I221" s="14">
        <v>930.25845027455762</v>
      </c>
      <c r="J221" s="14">
        <f t="shared" si="39"/>
        <v>1505.195423340961</v>
      </c>
      <c r="K221" s="14">
        <f t="shared" si="36"/>
        <v>1662.6289200732151</v>
      </c>
      <c r="L221" s="14">
        <f t="shared" si="37"/>
        <v>76.882140279206851</v>
      </c>
      <c r="M221" s="14">
        <f t="shared" si="38"/>
        <v>157.43349673225407</v>
      </c>
      <c r="N221" s="15">
        <v>122.3028</v>
      </c>
      <c r="O221" s="15">
        <v>109.94160000000001</v>
      </c>
      <c r="P221" s="15">
        <f t="shared" si="35"/>
        <v>12.361199999999997</v>
      </c>
      <c r="Q221" s="2">
        <v>0.222</v>
      </c>
      <c r="R221" s="2">
        <v>0.252</v>
      </c>
      <c r="S221" s="2">
        <v>0.52600000000000002</v>
      </c>
      <c r="T221" s="23" t="s">
        <v>123</v>
      </c>
    </row>
    <row r="222" spans="1:20" x14ac:dyDescent="0.2">
      <c r="A222">
        <v>20</v>
      </c>
      <c r="B222">
        <v>40</v>
      </c>
      <c r="C222" t="s">
        <v>13</v>
      </c>
      <c r="D222" t="s">
        <v>118</v>
      </c>
      <c r="E222">
        <v>1</v>
      </c>
      <c r="F222" s="14">
        <v>528.84765957446803</v>
      </c>
      <c r="G222" s="14">
        <v>564.2664924885695</v>
      </c>
      <c r="H222" s="14">
        <v>755.49665653495447</v>
      </c>
      <c r="I222" s="14">
        <v>797.89261920313527</v>
      </c>
      <c r="J222" s="14">
        <f t="shared" si="39"/>
        <v>1284.3443161094224</v>
      </c>
      <c r="K222" s="14">
        <f t="shared" si="36"/>
        <v>1362.1591116917048</v>
      </c>
      <c r="L222" s="14">
        <f t="shared" si="37"/>
        <v>35.418832914101472</v>
      </c>
      <c r="M222" s="14">
        <f t="shared" si="38"/>
        <v>77.814795582282386</v>
      </c>
      <c r="N222" s="15">
        <v>118.95179999999998</v>
      </c>
      <c r="O222" s="15">
        <v>126.68340000000002</v>
      </c>
      <c r="P222" s="15">
        <f t="shared" si="35"/>
        <v>-7.7316000000000429</v>
      </c>
      <c r="Q222" s="2">
        <v>0.224</v>
      </c>
      <c r="R222" s="2">
        <v>0.21</v>
      </c>
      <c r="S222" s="2">
        <v>0.56599999999999995</v>
      </c>
      <c r="T222" s="23" t="s">
        <v>123</v>
      </c>
    </row>
    <row r="223" spans="1:20" x14ac:dyDescent="0.2">
      <c r="A223">
        <v>20</v>
      </c>
      <c r="B223">
        <v>75</v>
      </c>
      <c r="C223" t="s">
        <v>13</v>
      </c>
      <c r="D223" t="s">
        <v>118</v>
      </c>
      <c r="E223">
        <v>3</v>
      </c>
      <c r="F223" s="14">
        <v>425.50853835021695</v>
      </c>
      <c r="G223" s="14">
        <v>467.26007905138334</v>
      </c>
      <c r="H223" s="14">
        <v>1454.1863965267728</v>
      </c>
      <c r="I223" s="14">
        <v>1285.9636363636364</v>
      </c>
      <c r="J223" s="14">
        <f t="shared" si="39"/>
        <v>1879.6949348769897</v>
      </c>
      <c r="K223" s="14">
        <f t="shared" si="36"/>
        <v>1753.2237154150198</v>
      </c>
      <c r="L223" s="14">
        <f t="shared" si="37"/>
        <v>41.751540701166391</v>
      </c>
      <c r="M223" s="14">
        <f t="shared" si="38"/>
        <v>-126.47121946196989</v>
      </c>
      <c r="N223" s="15">
        <v>122.33340000000001</v>
      </c>
      <c r="O223" s="15">
        <v>119.97659999999999</v>
      </c>
      <c r="P223" s="15">
        <f t="shared" si="35"/>
        <v>2.3568000000000211</v>
      </c>
      <c r="Q223" s="2">
        <v>0.23599999999999999</v>
      </c>
      <c r="R223" s="2">
        <v>0.23899999999999999</v>
      </c>
      <c r="S223" s="2">
        <v>0.52500000000000002</v>
      </c>
      <c r="T223" s="23" t="s">
        <v>123</v>
      </c>
    </row>
    <row r="224" spans="1:20" x14ac:dyDescent="0.2">
      <c r="A224">
        <v>20</v>
      </c>
      <c r="B224">
        <v>136</v>
      </c>
      <c r="C224" t="s">
        <v>13</v>
      </c>
      <c r="D224" t="s">
        <v>118</v>
      </c>
      <c r="E224">
        <v>4</v>
      </c>
      <c r="F224" s="14">
        <v>615.1433911882508</v>
      </c>
      <c r="G224" s="14">
        <v>565.92736572889999</v>
      </c>
      <c r="H224" s="14">
        <v>1040.0779706275034</v>
      </c>
      <c r="I224" s="14">
        <v>1157.0501278772381</v>
      </c>
      <c r="J224" s="14">
        <f t="shared" si="39"/>
        <v>1655.2213618157543</v>
      </c>
      <c r="K224" s="14">
        <f t="shared" si="36"/>
        <v>1722.9774936061381</v>
      </c>
      <c r="L224" s="14">
        <f t="shared" si="37"/>
        <v>-49.216025459350817</v>
      </c>
      <c r="M224" s="14">
        <f t="shared" si="38"/>
        <v>67.756131790383733</v>
      </c>
      <c r="N224" s="15">
        <v>95.416599999999988</v>
      </c>
      <c r="O224" s="15">
        <v>99.228999999999999</v>
      </c>
      <c r="P224" s="15">
        <f t="shared" si="35"/>
        <v>-3.8124000000000109</v>
      </c>
      <c r="Q224" s="2">
        <v>0.18</v>
      </c>
      <c r="R224" s="2">
        <v>0.216</v>
      </c>
      <c r="S224" s="2">
        <v>0.60299999999999998</v>
      </c>
      <c r="T224" s="23" t="s">
        <v>123</v>
      </c>
    </row>
    <row r="225" spans="1:20" x14ac:dyDescent="0.2">
      <c r="A225">
        <v>20</v>
      </c>
      <c r="B225">
        <v>224</v>
      </c>
      <c r="C225" t="s">
        <v>13</v>
      </c>
      <c r="D225" t="s">
        <v>118</v>
      </c>
      <c r="E225">
        <v>2</v>
      </c>
      <c r="F225" s="14">
        <v>401.62900461437039</v>
      </c>
      <c r="G225" s="14">
        <v>432.38847006651878</v>
      </c>
      <c r="H225" s="14">
        <v>807.25431773236653</v>
      </c>
      <c r="I225" s="14">
        <v>905.10332594235047</v>
      </c>
      <c r="J225" s="14">
        <f t="shared" si="39"/>
        <v>1208.8833223467368</v>
      </c>
      <c r="K225" s="14">
        <f t="shared" si="36"/>
        <v>1337.4917960088692</v>
      </c>
      <c r="L225" s="14">
        <f t="shared" si="37"/>
        <v>30.75946545214839</v>
      </c>
      <c r="M225" s="14">
        <f t="shared" si="38"/>
        <v>128.60847366213238</v>
      </c>
      <c r="N225" s="15">
        <v>102.73779999999999</v>
      </c>
      <c r="O225" s="15">
        <v>113.65779999999998</v>
      </c>
      <c r="P225" s="15">
        <f t="shared" si="35"/>
        <v>-10.919999999999987</v>
      </c>
      <c r="Q225" s="2">
        <v>0.24</v>
      </c>
      <c r="R225" s="2">
        <v>0.23200000000000001</v>
      </c>
      <c r="S225" s="2">
        <v>0.52700000000000002</v>
      </c>
      <c r="T225" s="23" t="s">
        <v>123</v>
      </c>
    </row>
    <row r="226" spans="1:20" x14ac:dyDescent="0.2">
      <c r="A226">
        <v>20</v>
      </c>
      <c r="B226">
        <v>5</v>
      </c>
      <c r="C226" t="s">
        <v>4</v>
      </c>
      <c r="D226" t="s">
        <v>117</v>
      </c>
      <c r="E226">
        <v>4</v>
      </c>
      <c r="F226" s="14">
        <v>499.92651356993719</v>
      </c>
      <c r="G226" s="14">
        <v>567.91448275862058</v>
      </c>
      <c r="H226" s="14">
        <v>741.97954070981223</v>
      </c>
      <c r="I226" s="14">
        <v>855.35586206896562</v>
      </c>
      <c r="J226" s="14">
        <f t="shared" si="39"/>
        <v>1241.9060542797495</v>
      </c>
      <c r="K226" s="14">
        <f t="shared" si="36"/>
        <v>1423.2703448275861</v>
      </c>
      <c r="L226" s="14">
        <f t="shared" si="37"/>
        <v>67.987969188683394</v>
      </c>
      <c r="M226" s="14">
        <f t="shared" si="38"/>
        <v>181.36429054783662</v>
      </c>
      <c r="N226" s="15">
        <v>53.174999999999997</v>
      </c>
      <c r="O226" s="15">
        <v>88.993800000000007</v>
      </c>
      <c r="P226" s="15">
        <f t="shared" si="35"/>
        <v>-35.81880000000001</v>
      </c>
      <c r="Q226" s="2">
        <v>0.248</v>
      </c>
      <c r="R226" s="2">
        <v>0.23599999999999999</v>
      </c>
      <c r="S226" s="2">
        <v>0.51600000000000001</v>
      </c>
      <c r="T226" s="18" t="s">
        <v>122</v>
      </c>
    </row>
    <row r="227" spans="1:20" x14ac:dyDescent="0.2">
      <c r="A227">
        <v>20</v>
      </c>
      <c r="B227">
        <v>32</v>
      </c>
      <c r="C227" t="s">
        <v>4</v>
      </c>
      <c r="D227" t="s">
        <v>117</v>
      </c>
      <c r="E227">
        <v>3</v>
      </c>
      <c r="F227" s="14">
        <v>438.34322305229449</v>
      </c>
      <c r="G227" s="14">
        <v>357.65967450271239</v>
      </c>
      <c r="H227" s="14">
        <v>721.40618996798298</v>
      </c>
      <c r="I227" s="14">
        <v>715.31934900542501</v>
      </c>
      <c r="J227" s="14">
        <f t="shared" si="39"/>
        <v>1159.7494130202774</v>
      </c>
      <c r="K227" s="14">
        <f t="shared" si="36"/>
        <v>1072.9790235081373</v>
      </c>
      <c r="L227" s="14">
        <f t="shared" si="37"/>
        <v>-80.683548549582099</v>
      </c>
      <c r="M227" s="14">
        <f t="shared" si="38"/>
        <v>-86.770389512140127</v>
      </c>
      <c r="N227" s="15">
        <v>111.07599999999996</v>
      </c>
      <c r="O227" s="15">
        <v>114.5968</v>
      </c>
      <c r="P227" s="15">
        <f t="shared" si="35"/>
        <v>-3.5208000000000368</v>
      </c>
      <c r="Q227" s="2">
        <v>0.11700000000000001</v>
      </c>
      <c r="R227" s="2">
        <v>0.192</v>
      </c>
      <c r="S227" s="2">
        <v>0.69099999999999995</v>
      </c>
      <c r="T227" s="18" t="s">
        <v>122</v>
      </c>
    </row>
    <row r="228" spans="1:20" x14ac:dyDescent="0.2">
      <c r="A228">
        <v>20</v>
      </c>
      <c r="B228">
        <v>149</v>
      </c>
      <c r="C228" t="s">
        <v>4</v>
      </c>
      <c r="D228" t="s">
        <v>117</v>
      </c>
      <c r="E228">
        <v>2</v>
      </c>
      <c r="F228" s="14">
        <v>377.32124999999991</v>
      </c>
      <c r="G228" s="14">
        <v>354.22068965517235</v>
      </c>
      <c r="H228" s="14">
        <v>606.24</v>
      </c>
      <c r="I228" s="14">
        <v>628.59655172413795</v>
      </c>
      <c r="J228" s="14">
        <f t="shared" si="39"/>
        <v>983.56124999999997</v>
      </c>
      <c r="K228" s="14">
        <f t="shared" si="36"/>
        <v>982.8172413793103</v>
      </c>
      <c r="L228" s="14">
        <f t="shared" si="37"/>
        <v>-23.100560344827556</v>
      </c>
      <c r="M228" s="14">
        <f t="shared" si="38"/>
        <v>-0.74400862068966944</v>
      </c>
      <c r="N228" s="15">
        <v>97.157799999999995</v>
      </c>
      <c r="O228" s="15">
        <v>101.27740000000001</v>
      </c>
      <c r="P228" s="15">
        <f t="shared" si="35"/>
        <v>-4.1196000000000197</v>
      </c>
      <c r="Q228" s="2">
        <v>0.13100000000000001</v>
      </c>
      <c r="R228" s="2">
        <v>0.218</v>
      </c>
      <c r="S228" s="2">
        <v>0.65100000000000002</v>
      </c>
      <c r="T228" s="18" t="s">
        <v>122</v>
      </c>
    </row>
    <row r="229" spans="1:20" x14ac:dyDescent="0.2">
      <c r="A229">
        <v>20</v>
      </c>
      <c r="B229">
        <v>239</v>
      </c>
      <c r="C229" t="s">
        <v>4</v>
      </c>
      <c r="D229" t="s">
        <v>117</v>
      </c>
      <c r="E229">
        <v>1</v>
      </c>
      <c r="F229" s="14">
        <v>515.40606060606046</v>
      </c>
      <c r="G229" s="14">
        <v>601.01379310344805</v>
      </c>
      <c r="H229" s="14">
        <v>734.83636363636356</v>
      </c>
      <c r="I229" s="14">
        <v>805.93611615245004</v>
      </c>
      <c r="J229" s="14">
        <f t="shared" si="39"/>
        <v>1250.242424242424</v>
      </c>
      <c r="K229" s="14">
        <f t="shared" si="36"/>
        <v>1406.9499092558981</v>
      </c>
      <c r="L229" s="14">
        <f t="shared" si="37"/>
        <v>85.607732497387588</v>
      </c>
      <c r="M229" s="14">
        <f t="shared" si="38"/>
        <v>156.70748501347407</v>
      </c>
      <c r="N229" s="15">
        <v>111.41237939914163</v>
      </c>
      <c r="O229" s="15">
        <v>101.70797939914164</v>
      </c>
      <c r="P229" s="15">
        <f t="shared" ref="P229:P260" si="40">N229-O229</f>
        <v>9.7043999999999926</v>
      </c>
      <c r="Q229" s="2">
        <v>9.5000000000000001E-2</v>
      </c>
      <c r="R229" s="2">
        <v>0.2</v>
      </c>
      <c r="S229" s="2">
        <v>0.70499999999999996</v>
      </c>
      <c r="T229" s="18" t="s">
        <v>122</v>
      </c>
    </row>
    <row r="230" spans="1:20" x14ac:dyDescent="0.2">
      <c r="A230">
        <v>10</v>
      </c>
      <c r="B230">
        <v>94</v>
      </c>
      <c r="C230" t="s">
        <v>4</v>
      </c>
      <c r="D230" t="s">
        <v>116</v>
      </c>
      <c r="E230">
        <v>3</v>
      </c>
      <c r="F230" s="14">
        <v>235.34161490683229</v>
      </c>
      <c r="G230" s="14">
        <v>287.71697027804413</v>
      </c>
      <c r="H230" s="14">
        <v>513.04472049689434</v>
      </c>
      <c r="I230" s="14">
        <v>600.13691275167821</v>
      </c>
      <c r="J230" s="14">
        <f t="shared" si="39"/>
        <v>748.38633540372666</v>
      </c>
      <c r="K230" s="14">
        <f t="shared" si="36"/>
        <v>887.85388302972228</v>
      </c>
      <c r="L230" s="14">
        <f t="shared" si="37"/>
        <v>52.375355371211839</v>
      </c>
      <c r="M230" s="14">
        <f t="shared" si="38"/>
        <v>139.46754762599562</v>
      </c>
      <c r="N230" s="15">
        <v>80.421194621026899</v>
      </c>
      <c r="O230" s="15">
        <v>71.413268852459026</v>
      </c>
      <c r="P230" s="15">
        <f t="shared" si="40"/>
        <v>9.0079257685678726</v>
      </c>
      <c r="Q230" s="2">
        <v>0.189</v>
      </c>
      <c r="R230" s="2">
        <v>9.8000000000000004E-2</v>
      </c>
      <c r="S230" s="2">
        <v>0.71299999999999997</v>
      </c>
      <c r="T230" s="18" t="s">
        <v>122</v>
      </c>
    </row>
    <row r="231" spans="1:20" x14ac:dyDescent="0.2">
      <c r="A231">
        <v>20</v>
      </c>
      <c r="B231">
        <v>171</v>
      </c>
      <c r="C231" t="s">
        <v>4</v>
      </c>
      <c r="D231" t="s">
        <v>116</v>
      </c>
      <c r="E231">
        <v>1</v>
      </c>
      <c r="F231" s="14">
        <v>194.18409813721036</v>
      </c>
      <c r="G231" s="14">
        <v>283.62105263157878</v>
      </c>
      <c r="H231" s="14">
        <v>406.27169468423443</v>
      </c>
      <c r="I231" s="14">
        <v>576.1052631578948</v>
      </c>
      <c r="J231" s="14">
        <f t="shared" si="39"/>
        <v>600.45579282144479</v>
      </c>
      <c r="K231" s="14">
        <f t="shared" si="36"/>
        <v>859.72631578947357</v>
      </c>
      <c r="L231" s="14">
        <f t="shared" si="37"/>
        <v>89.436954494368422</v>
      </c>
      <c r="M231" s="14">
        <f t="shared" si="38"/>
        <v>259.27052296802879</v>
      </c>
      <c r="N231" s="15">
        <v>60.770760599571723</v>
      </c>
      <c r="O231" s="15">
        <v>42.929160599571723</v>
      </c>
      <c r="P231" s="15">
        <f t="shared" si="40"/>
        <v>17.8416</v>
      </c>
      <c r="Q231" s="2">
        <v>0.122</v>
      </c>
      <c r="R231" s="2">
        <v>0.17100000000000001</v>
      </c>
      <c r="S231" s="2">
        <v>0.70599999999999996</v>
      </c>
      <c r="T231" s="18" t="s">
        <v>122</v>
      </c>
    </row>
    <row r="232" spans="1:20" x14ac:dyDescent="0.2">
      <c r="A232">
        <v>10</v>
      </c>
      <c r="B232">
        <v>227</v>
      </c>
      <c r="C232" t="s">
        <v>4</v>
      </c>
      <c r="D232" t="s">
        <v>116</v>
      </c>
      <c r="E232">
        <v>2</v>
      </c>
      <c r="F232" s="14">
        <v>299.01586073500954</v>
      </c>
      <c r="G232" s="14">
        <v>329.41808219178068</v>
      </c>
      <c r="H232" s="14">
        <v>693.30638297872349</v>
      </c>
      <c r="I232" s="14">
        <v>491.35890410958916</v>
      </c>
      <c r="J232" s="14">
        <f t="shared" si="39"/>
        <v>992.32224371373309</v>
      </c>
      <c r="K232" s="14">
        <f t="shared" si="36"/>
        <v>820.77698630136979</v>
      </c>
      <c r="L232" s="14">
        <f t="shared" si="37"/>
        <v>30.402221456771144</v>
      </c>
      <c r="M232" s="14">
        <f t="shared" si="38"/>
        <v>-171.5452574123633</v>
      </c>
      <c r="N232" s="15">
        <v>71.234707003444328</v>
      </c>
      <c r="O232" s="15">
        <v>56.270952619589977</v>
      </c>
      <c r="P232" s="15">
        <f t="shared" si="40"/>
        <v>14.963754383854351</v>
      </c>
      <c r="Q232" s="2">
        <v>0.129</v>
      </c>
      <c r="R232" s="2">
        <v>0.184</v>
      </c>
      <c r="S232" s="2">
        <v>0.68700000000000006</v>
      </c>
      <c r="T232" s="18" t="s">
        <v>122</v>
      </c>
    </row>
    <row r="233" spans="1:20" x14ac:dyDescent="0.2">
      <c r="A233">
        <v>10</v>
      </c>
      <c r="B233">
        <v>307</v>
      </c>
      <c r="C233" t="s">
        <v>4</v>
      </c>
      <c r="D233" t="s">
        <v>116</v>
      </c>
      <c r="E233">
        <v>4</v>
      </c>
      <c r="F233" s="14">
        <v>331.53749999999968</v>
      </c>
      <c r="G233" s="14">
        <v>554.18909090909051</v>
      </c>
      <c r="H233" s="14">
        <v>800.42624999999975</v>
      </c>
      <c r="I233" s="14">
        <v>895.58181818181777</v>
      </c>
      <c r="J233" s="14">
        <f t="shared" si="39"/>
        <v>1131.9637499999994</v>
      </c>
      <c r="K233" s="14">
        <f t="shared" si="36"/>
        <v>1449.7709090909084</v>
      </c>
      <c r="L233" s="14">
        <f t="shared" si="37"/>
        <v>222.65159090909083</v>
      </c>
      <c r="M233" s="14">
        <f t="shared" si="38"/>
        <v>317.80715909090895</v>
      </c>
      <c r="N233" s="15">
        <v>31.262017351598182</v>
      </c>
      <c r="O233" s="15">
        <v>56.267792203898047</v>
      </c>
      <c r="P233" s="15">
        <f t="shared" si="40"/>
        <v>-25.005774852299865</v>
      </c>
      <c r="Q233" s="2">
        <v>0.191</v>
      </c>
      <c r="R233" s="2">
        <v>0.17</v>
      </c>
      <c r="S233" s="2">
        <v>0.63900000000000001</v>
      </c>
      <c r="T233" s="18" t="s">
        <v>122</v>
      </c>
    </row>
    <row r="234" spans="1:20" x14ac:dyDescent="0.2">
      <c r="A234">
        <v>20</v>
      </c>
      <c r="B234">
        <v>15</v>
      </c>
      <c r="C234" t="s">
        <v>4</v>
      </c>
      <c r="D234" t="s">
        <v>118</v>
      </c>
      <c r="E234">
        <v>3</v>
      </c>
      <c r="F234" s="14">
        <v>658.38967741935471</v>
      </c>
      <c r="G234" s="14">
        <v>755.91398705823792</v>
      </c>
      <c r="H234" s="14">
        <v>1126.1070967741935</v>
      </c>
      <c r="I234" s="14">
        <v>1122.5549029367844</v>
      </c>
      <c r="J234" s="14">
        <f t="shared" si="39"/>
        <v>1784.4967741935482</v>
      </c>
      <c r="K234" s="14">
        <f t="shared" si="36"/>
        <v>1878.4688899950224</v>
      </c>
      <c r="L234" s="14">
        <f t="shared" si="37"/>
        <v>97.52430963888321</v>
      </c>
      <c r="M234" s="14">
        <f t="shared" si="38"/>
        <v>93.972115801474274</v>
      </c>
      <c r="N234" s="15">
        <v>139.51782747111679</v>
      </c>
      <c r="O234" s="15">
        <v>149.2510274711168</v>
      </c>
      <c r="P234" s="15">
        <f t="shared" si="40"/>
        <v>-9.7332000000000107</v>
      </c>
      <c r="Q234" s="2">
        <v>0.11700000000000001</v>
      </c>
      <c r="R234" s="2">
        <v>0.193</v>
      </c>
      <c r="S234" s="2">
        <v>0.69</v>
      </c>
      <c r="T234" s="18" t="s">
        <v>122</v>
      </c>
    </row>
    <row r="235" spans="1:20" x14ac:dyDescent="0.2">
      <c r="A235">
        <v>20</v>
      </c>
      <c r="B235">
        <v>91</v>
      </c>
      <c r="C235" t="s">
        <v>4</v>
      </c>
      <c r="D235" t="s">
        <v>118</v>
      </c>
      <c r="E235">
        <v>2</v>
      </c>
      <c r="F235" s="14">
        <v>379.33501722158434</v>
      </c>
      <c r="G235" s="14">
        <v>341.82386634844858</v>
      </c>
      <c r="H235" s="14">
        <v>777.81079219288176</v>
      </c>
      <c r="I235" s="14">
        <v>857.272553699284</v>
      </c>
      <c r="J235" s="14">
        <f t="shared" si="39"/>
        <v>1157.1458094144662</v>
      </c>
      <c r="K235" s="14">
        <f t="shared" si="36"/>
        <v>1199.0964200477326</v>
      </c>
      <c r="L235" s="14">
        <f t="shared" si="37"/>
        <v>-37.511150873135762</v>
      </c>
      <c r="M235" s="14">
        <f t="shared" si="38"/>
        <v>41.950610633266479</v>
      </c>
      <c r="N235" s="15">
        <v>125.55179999999999</v>
      </c>
      <c r="O235" s="15">
        <v>144.1206</v>
      </c>
      <c r="P235" s="15">
        <f t="shared" si="40"/>
        <v>-18.56880000000001</v>
      </c>
      <c r="Q235" s="2">
        <v>0.21299999999999999</v>
      </c>
      <c r="R235" s="2">
        <v>0.24099999999999999</v>
      </c>
      <c r="S235" s="2">
        <v>0.54600000000000004</v>
      </c>
      <c r="T235" s="18" t="s">
        <v>122</v>
      </c>
    </row>
    <row r="236" spans="1:20" x14ac:dyDescent="0.2">
      <c r="A236">
        <v>20</v>
      </c>
      <c r="B236">
        <v>189</v>
      </c>
      <c r="C236" t="s">
        <v>4</v>
      </c>
      <c r="D236" t="s">
        <v>118</v>
      </c>
      <c r="E236">
        <v>1</v>
      </c>
      <c r="F236" s="14">
        <v>75.229539951573869</v>
      </c>
      <c r="G236" s="14">
        <v>348.50695187165769</v>
      </c>
      <c r="H236" s="14">
        <v>387.15690072639234</v>
      </c>
      <c r="I236" s="14">
        <v>1077.9401069518719</v>
      </c>
      <c r="J236" s="14">
        <f t="shared" si="39"/>
        <v>462.38644067796622</v>
      </c>
      <c r="K236" s="14">
        <f t="shared" ref="K236:K269" si="41">G236+I236</f>
        <v>1426.4470588235297</v>
      </c>
      <c r="L236" s="14">
        <f t="shared" ref="L236:L269" si="42">G236-F236</f>
        <v>273.27741192008381</v>
      </c>
      <c r="M236" s="14">
        <f t="shared" ref="M236:M269" si="43">K236-J236</f>
        <v>964.06061814556347</v>
      </c>
      <c r="N236" s="15">
        <v>72.850149397590371</v>
      </c>
      <c r="O236" s="15">
        <v>76.901349397590366</v>
      </c>
      <c r="P236" s="15">
        <f t="shared" si="40"/>
        <v>-4.0511999999999944</v>
      </c>
      <c r="Q236" s="2">
        <v>0.16</v>
      </c>
      <c r="R236" s="2">
        <v>0.20499999999999999</v>
      </c>
      <c r="S236" s="2">
        <v>0.63400000000000001</v>
      </c>
      <c r="T236" s="18" t="s">
        <v>122</v>
      </c>
    </row>
    <row r="237" spans="1:20" x14ac:dyDescent="0.2">
      <c r="A237">
        <v>10</v>
      </c>
      <c r="B237">
        <v>216</v>
      </c>
      <c r="C237" t="s">
        <v>4</v>
      </c>
      <c r="D237" t="s">
        <v>118</v>
      </c>
      <c r="E237">
        <v>4</v>
      </c>
      <c r="F237" s="14">
        <v>316.89818181818174</v>
      </c>
      <c r="G237" s="14">
        <v>381.45438202247158</v>
      </c>
      <c r="H237" s="14">
        <v>1010.9740909090908</v>
      </c>
      <c r="I237" s="14">
        <v>1282.299775280899</v>
      </c>
      <c r="J237" s="14">
        <f t="shared" si="39"/>
        <v>1327.8722727272725</v>
      </c>
      <c r="K237" s="14">
        <f t="shared" si="41"/>
        <v>1663.7541573033704</v>
      </c>
      <c r="L237" s="14">
        <f t="shared" si="42"/>
        <v>64.556200204289837</v>
      </c>
      <c r="M237" s="14">
        <f t="shared" si="43"/>
        <v>335.88188457609795</v>
      </c>
      <c r="N237" s="15">
        <v>87.299298765432127</v>
      </c>
      <c r="O237" s="15">
        <v>103.54274794520549</v>
      </c>
      <c r="P237" s="15">
        <f t="shared" si="40"/>
        <v>-16.243449179773364</v>
      </c>
      <c r="Q237" s="2">
        <v>0.192</v>
      </c>
      <c r="R237" s="2">
        <v>0.17199999999999999</v>
      </c>
      <c r="S237" s="2">
        <v>0.63600000000000001</v>
      </c>
      <c r="T237" s="18" t="s">
        <v>122</v>
      </c>
    </row>
    <row r="238" spans="1:20" x14ac:dyDescent="0.2">
      <c r="A238">
        <v>20</v>
      </c>
      <c r="B238">
        <v>112</v>
      </c>
      <c r="C238" t="s">
        <v>12</v>
      </c>
      <c r="D238" t="s">
        <v>117</v>
      </c>
      <c r="E238">
        <v>2</v>
      </c>
      <c r="F238" s="14">
        <v>367.37160243407703</v>
      </c>
      <c r="G238" s="14">
        <v>409.18062111801237</v>
      </c>
      <c r="H238" s="14">
        <v>633.29330628803234</v>
      </c>
      <c r="I238" s="14">
        <v>802.04422360248441</v>
      </c>
      <c r="J238" s="14">
        <f t="shared" si="39"/>
        <v>1000.6649087221094</v>
      </c>
      <c r="K238" s="14">
        <f t="shared" si="41"/>
        <v>1211.2248447204968</v>
      </c>
      <c r="L238" s="14">
        <f t="shared" si="42"/>
        <v>41.809018683935335</v>
      </c>
      <c r="M238" s="14">
        <f t="shared" si="43"/>
        <v>210.55993599838735</v>
      </c>
      <c r="N238" s="15">
        <v>64.256800000000013</v>
      </c>
      <c r="O238" s="15">
        <v>50.513200000000005</v>
      </c>
      <c r="P238" s="15">
        <f t="shared" si="40"/>
        <v>13.743600000000008</v>
      </c>
      <c r="Q238" s="2">
        <v>0.114</v>
      </c>
      <c r="R238" s="2">
        <v>0.20599999999999999</v>
      </c>
      <c r="S238" s="2">
        <v>0.68</v>
      </c>
      <c r="T238" s="18" t="s">
        <v>122</v>
      </c>
    </row>
    <row r="239" spans="1:20" x14ac:dyDescent="0.2">
      <c r="A239">
        <v>10</v>
      </c>
      <c r="B239">
        <v>263</v>
      </c>
      <c r="C239" t="s">
        <v>12</v>
      </c>
      <c r="D239" t="s">
        <v>117</v>
      </c>
      <c r="E239">
        <v>3</v>
      </c>
      <c r="F239" s="14">
        <v>832.63382519863774</v>
      </c>
      <c r="G239" s="14">
        <v>383.8637554585153</v>
      </c>
      <c r="H239" s="14">
        <v>1398.6183881952327</v>
      </c>
      <c r="I239" s="14">
        <v>823.98340611353706</v>
      </c>
      <c r="J239" s="14">
        <f t="shared" si="39"/>
        <v>2231.2522133938705</v>
      </c>
      <c r="K239" s="14">
        <f t="shared" si="41"/>
        <v>1207.8471615720523</v>
      </c>
      <c r="L239" s="14">
        <f t="shared" si="42"/>
        <v>-448.77006974012244</v>
      </c>
      <c r="M239" s="14">
        <f t="shared" si="43"/>
        <v>-1023.4050518218182</v>
      </c>
      <c r="N239" s="15">
        <v>116.44558522954094</v>
      </c>
      <c r="O239" s="15">
        <v>124.43912165898618</v>
      </c>
      <c r="P239" s="15">
        <f t="shared" si="40"/>
        <v>-7.9935364294452427</v>
      </c>
      <c r="Q239" s="2">
        <v>7.0000000000000007E-2</v>
      </c>
      <c r="R239" s="2">
        <v>0.153</v>
      </c>
      <c r="S239" s="2">
        <v>0.77700000000000002</v>
      </c>
      <c r="T239" s="18" t="s">
        <v>122</v>
      </c>
    </row>
    <row r="240" spans="1:20" x14ac:dyDescent="0.2">
      <c r="A240">
        <v>20</v>
      </c>
      <c r="B240">
        <v>284</v>
      </c>
      <c r="C240" t="s">
        <v>12</v>
      </c>
      <c r="D240" t="s">
        <v>117</v>
      </c>
      <c r="E240">
        <v>1</v>
      </c>
      <c r="F240" s="14">
        <v>364.14700854700845</v>
      </c>
      <c r="G240" s="14">
        <v>429.10126182965303</v>
      </c>
      <c r="H240" s="14">
        <v>578.60512820512815</v>
      </c>
      <c r="I240" s="14">
        <v>590.4624605678232</v>
      </c>
      <c r="J240" s="14">
        <f t="shared" si="39"/>
        <v>942.75213675213661</v>
      </c>
      <c r="K240" s="14">
        <f t="shared" si="41"/>
        <v>1019.5637223974762</v>
      </c>
      <c r="L240" s="14">
        <f t="shared" si="42"/>
        <v>64.954253282644572</v>
      </c>
      <c r="M240" s="14">
        <f t="shared" si="43"/>
        <v>76.811585645339619</v>
      </c>
      <c r="N240" s="15">
        <v>42.602800000000002</v>
      </c>
      <c r="O240" s="15">
        <v>44.383600000000001</v>
      </c>
      <c r="P240" s="15">
        <f t="shared" si="40"/>
        <v>-1.7807999999999993</v>
      </c>
      <c r="Q240" s="2">
        <v>5.7000000000000002E-2</v>
      </c>
      <c r="R240" s="2">
        <v>0.14299999999999999</v>
      </c>
      <c r="S240" s="2">
        <v>0.79900000000000004</v>
      </c>
      <c r="T240" s="18" t="s">
        <v>122</v>
      </c>
    </row>
    <row r="241" spans="1:20" x14ac:dyDescent="0.2">
      <c r="A241">
        <v>20</v>
      </c>
      <c r="B241">
        <v>292</v>
      </c>
      <c r="C241" t="s">
        <v>12</v>
      </c>
      <c r="D241" t="s">
        <v>117</v>
      </c>
      <c r="E241">
        <v>4</v>
      </c>
      <c r="F241" s="14">
        <v>476.30738478622965</v>
      </c>
      <c r="G241" s="14">
        <v>625.1310207588981</v>
      </c>
      <c r="H241" s="14">
        <v>705.20421987784539</v>
      </c>
      <c r="I241" s="14">
        <v>862.29695626611169</v>
      </c>
      <c r="J241" s="14">
        <f t="shared" si="39"/>
        <v>1181.5116046640751</v>
      </c>
      <c r="K241" s="14">
        <f t="shared" si="41"/>
        <v>1487.4279770250098</v>
      </c>
      <c r="L241" s="14">
        <f t="shared" si="42"/>
        <v>148.82363597266846</v>
      </c>
      <c r="M241" s="14">
        <f t="shared" si="43"/>
        <v>305.9163723609347</v>
      </c>
      <c r="N241" s="15">
        <v>77.393200000000007</v>
      </c>
      <c r="O241" s="15">
        <v>87.155200000000022</v>
      </c>
      <c r="P241" s="15">
        <f t="shared" si="40"/>
        <v>-9.7620000000000147</v>
      </c>
      <c r="Q241" s="2">
        <v>7.6999999999999999E-2</v>
      </c>
      <c r="R241" s="2">
        <v>0.159</v>
      </c>
      <c r="S241" s="2">
        <v>0.76400000000000001</v>
      </c>
      <c r="T241" s="18" t="s">
        <v>122</v>
      </c>
    </row>
    <row r="242" spans="1:20" x14ac:dyDescent="0.2">
      <c r="A242">
        <v>20</v>
      </c>
      <c r="B242">
        <v>125</v>
      </c>
      <c r="C242" t="s">
        <v>12</v>
      </c>
      <c r="D242" t="s">
        <v>116</v>
      </c>
      <c r="E242">
        <v>4</v>
      </c>
      <c r="F242" s="14">
        <v>321.02321792260676</v>
      </c>
      <c r="G242" s="14">
        <v>298.399555061179</v>
      </c>
      <c r="H242" s="14">
        <v>611.1788187372706</v>
      </c>
      <c r="I242" s="14">
        <v>660.86229143492767</v>
      </c>
      <c r="J242" s="14">
        <f t="shared" si="39"/>
        <v>932.20203665987742</v>
      </c>
      <c r="K242" s="14">
        <f t="shared" si="41"/>
        <v>959.26184649610673</v>
      </c>
      <c r="L242" s="14">
        <f t="shared" si="42"/>
        <v>-22.623662861427761</v>
      </c>
      <c r="M242" s="14">
        <f t="shared" si="43"/>
        <v>27.059809836229306</v>
      </c>
      <c r="N242" s="15">
        <v>59.994000000000014</v>
      </c>
      <c r="O242" s="15">
        <v>82.710000000000008</v>
      </c>
      <c r="P242" s="15">
        <f t="shared" si="40"/>
        <v>-22.715999999999994</v>
      </c>
      <c r="Q242" s="2">
        <v>0.24299999999999999</v>
      </c>
      <c r="R242" s="2">
        <v>0.26400000000000001</v>
      </c>
      <c r="S242" s="2">
        <v>0.49299999999999999</v>
      </c>
      <c r="T242" s="18" t="s">
        <v>122</v>
      </c>
    </row>
    <row r="243" spans="1:20" x14ac:dyDescent="0.2">
      <c r="A243">
        <v>20</v>
      </c>
      <c r="B243">
        <v>165</v>
      </c>
      <c r="C243" t="s">
        <v>12</v>
      </c>
      <c r="D243" t="s">
        <v>116</v>
      </c>
      <c r="E243">
        <v>3</v>
      </c>
      <c r="F243" s="14">
        <v>105.98601398601393</v>
      </c>
      <c r="G243" s="14">
        <v>150.73664855829497</v>
      </c>
      <c r="H243" s="14">
        <v>259.35401069518707</v>
      </c>
      <c r="I243" s="14">
        <v>316.67363142498942</v>
      </c>
      <c r="J243" s="14">
        <f t="shared" si="39"/>
        <v>365.34002468120099</v>
      </c>
      <c r="K243" s="14">
        <f t="shared" si="41"/>
        <v>467.4102799832844</v>
      </c>
      <c r="L243" s="14">
        <f t="shared" si="42"/>
        <v>44.750634572281044</v>
      </c>
      <c r="M243" s="14">
        <f t="shared" si="43"/>
        <v>102.07025530208341</v>
      </c>
      <c r="N243" s="15">
        <v>27.512999999999998</v>
      </c>
      <c r="O243" s="15">
        <v>28.714199999999998</v>
      </c>
      <c r="P243" s="15">
        <f t="shared" si="40"/>
        <v>-1.2012</v>
      </c>
      <c r="Q243" s="2">
        <v>9.8000000000000004E-2</v>
      </c>
      <c r="R243" s="2">
        <v>0.17499999999999999</v>
      </c>
      <c r="S243" s="2">
        <v>0.72699999999999998</v>
      </c>
      <c r="T243" s="18" t="s">
        <v>122</v>
      </c>
    </row>
    <row r="244" spans="1:20" x14ac:dyDescent="0.2">
      <c r="A244">
        <v>10</v>
      </c>
      <c r="B244">
        <v>231</v>
      </c>
      <c r="C244" t="s">
        <v>12</v>
      </c>
      <c r="D244" t="s">
        <v>116</v>
      </c>
      <c r="E244">
        <v>2</v>
      </c>
      <c r="F244" s="14">
        <v>271.86738738738705</v>
      </c>
      <c r="G244" s="14">
        <v>362.27910780669089</v>
      </c>
      <c r="H244" s="14">
        <v>500.6486486486487</v>
      </c>
      <c r="I244" s="14">
        <v>656.3843866171004</v>
      </c>
      <c r="J244" s="14">
        <f t="shared" si="39"/>
        <v>772.51603603603576</v>
      </c>
      <c r="K244" s="14">
        <f t="shared" si="41"/>
        <v>1018.6634944237912</v>
      </c>
      <c r="L244" s="14">
        <f t="shared" si="42"/>
        <v>90.411720419303833</v>
      </c>
      <c r="M244" s="14">
        <f t="shared" si="43"/>
        <v>246.14745838775548</v>
      </c>
      <c r="N244" s="15">
        <v>57.455543722943723</v>
      </c>
      <c r="O244" s="15">
        <v>62.675952601156077</v>
      </c>
      <c r="P244" s="15">
        <f t="shared" si="40"/>
        <v>-5.2204088782123534</v>
      </c>
      <c r="Q244" s="2">
        <v>0.20100000000000001</v>
      </c>
      <c r="R244" s="2">
        <v>0.21299999999999999</v>
      </c>
      <c r="S244" s="2">
        <v>0.58599999999999997</v>
      </c>
      <c r="T244" s="18" t="s">
        <v>122</v>
      </c>
    </row>
    <row r="245" spans="1:20" x14ac:dyDescent="0.2">
      <c r="A245">
        <v>20</v>
      </c>
      <c r="B245">
        <v>296</v>
      </c>
      <c r="C245" t="s">
        <v>12</v>
      </c>
      <c r="D245" t="s">
        <v>116</v>
      </c>
      <c r="E245">
        <v>1</v>
      </c>
      <c r="F245" s="14">
        <v>151.42358235823576</v>
      </c>
      <c r="G245" s="14">
        <v>244.51961057023647</v>
      </c>
      <c r="H245" s="14">
        <v>301.48298829882981</v>
      </c>
      <c r="I245" s="14">
        <v>643.62058414464525</v>
      </c>
      <c r="J245" s="14">
        <f t="shared" si="39"/>
        <v>452.90657065706557</v>
      </c>
      <c r="K245" s="14">
        <f t="shared" si="41"/>
        <v>888.14019471488177</v>
      </c>
      <c r="L245" s="14">
        <f t="shared" si="42"/>
        <v>93.096028212000704</v>
      </c>
      <c r="M245" s="14">
        <f t="shared" si="43"/>
        <v>435.2336240578162</v>
      </c>
      <c r="N245" s="15">
        <v>41.15359999999999</v>
      </c>
      <c r="O245" s="15">
        <v>37.923200000000001</v>
      </c>
      <c r="P245" s="15">
        <f t="shared" si="40"/>
        <v>3.2303999999999888</v>
      </c>
      <c r="Q245" s="2">
        <v>0.14899999999999999</v>
      </c>
      <c r="R245" s="2">
        <v>0.18099999999999999</v>
      </c>
      <c r="S245" s="2">
        <v>0.67</v>
      </c>
      <c r="T245" s="18" t="s">
        <v>122</v>
      </c>
    </row>
    <row r="246" spans="1:20" x14ac:dyDescent="0.2">
      <c r="A246">
        <v>20</v>
      </c>
      <c r="B246">
        <v>19</v>
      </c>
      <c r="C246" t="s">
        <v>12</v>
      </c>
      <c r="D246" t="s">
        <v>118</v>
      </c>
      <c r="E246">
        <v>3</v>
      </c>
      <c r="F246" s="14">
        <v>125.65363357215975</v>
      </c>
      <c r="G246" s="14">
        <v>86.435398230088495</v>
      </c>
      <c r="H246" s="14">
        <v>409.53776867963148</v>
      </c>
      <c r="I246" s="14">
        <v>484.33628318584067</v>
      </c>
      <c r="J246" s="14">
        <f t="shared" si="39"/>
        <v>535.19140225179126</v>
      </c>
      <c r="K246" s="14">
        <f t="shared" si="41"/>
        <v>570.77168141592915</v>
      </c>
      <c r="L246" s="14">
        <f t="shared" si="42"/>
        <v>-39.218235342071253</v>
      </c>
      <c r="M246" s="14">
        <f t="shared" si="43"/>
        <v>35.580279164137892</v>
      </c>
      <c r="N246" s="15">
        <v>5.8854000000000006</v>
      </c>
      <c r="O246" s="15">
        <v>5.7391999999999967</v>
      </c>
      <c r="P246" s="15">
        <f t="shared" si="40"/>
        <v>0.14620000000000388</v>
      </c>
      <c r="Q246" s="2">
        <v>0.16800000000000001</v>
      </c>
      <c r="R246" s="2">
        <v>0.21199999999999999</v>
      </c>
      <c r="S246" s="2">
        <v>0.62</v>
      </c>
      <c r="T246" s="18" t="s">
        <v>122</v>
      </c>
    </row>
    <row r="247" spans="1:20" x14ac:dyDescent="0.2">
      <c r="A247">
        <v>10</v>
      </c>
      <c r="B247">
        <v>122</v>
      </c>
      <c r="C247" t="s">
        <v>12</v>
      </c>
      <c r="D247" t="s">
        <v>118</v>
      </c>
      <c r="E247">
        <v>1</v>
      </c>
      <c r="F247" s="14">
        <v>384.79494926719195</v>
      </c>
      <c r="G247" s="14">
        <v>283.22209718670035</v>
      </c>
      <c r="H247" s="14">
        <v>987.61758737316802</v>
      </c>
      <c r="I247" s="14">
        <v>888.9452685421993</v>
      </c>
      <c r="J247" s="14">
        <f t="shared" si="39"/>
        <v>1372.41253664036</v>
      </c>
      <c r="K247" s="14">
        <f t="shared" si="41"/>
        <v>1172.1673657288998</v>
      </c>
      <c r="L247" s="14">
        <f t="shared" si="42"/>
        <v>-101.5728520804916</v>
      </c>
      <c r="M247" s="14">
        <f t="shared" si="43"/>
        <v>-200.24517091146026</v>
      </c>
      <c r="N247" s="15">
        <v>74.366061224489812</v>
      </c>
      <c r="O247" s="15">
        <v>67.544262848751828</v>
      </c>
      <c r="P247" s="15">
        <f t="shared" si="40"/>
        <v>6.8217983757379841</v>
      </c>
      <c r="Q247" s="2">
        <v>0.109</v>
      </c>
      <c r="R247" s="2">
        <v>0.38100000000000001</v>
      </c>
      <c r="S247" s="2">
        <v>0.51</v>
      </c>
      <c r="T247" s="18" t="s">
        <v>122</v>
      </c>
    </row>
    <row r="248" spans="1:20" x14ac:dyDescent="0.2">
      <c r="A248">
        <v>20</v>
      </c>
      <c r="B248">
        <v>154</v>
      </c>
      <c r="C248" t="s">
        <v>12</v>
      </c>
      <c r="D248" t="s">
        <v>118</v>
      </c>
      <c r="E248">
        <v>2</v>
      </c>
      <c r="F248" s="14">
        <v>166.72393923520153</v>
      </c>
      <c r="G248" s="14">
        <v>143.848532289628</v>
      </c>
      <c r="H248" s="14">
        <v>530.34091147197489</v>
      </c>
      <c r="I248" s="14">
        <v>719.24266144814089</v>
      </c>
      <c r="J248" s="14">
        <f t="shared" si="39"/>
        <v>697.06485070717645</v>
      </c>
      <c r="K248" s="14">
        <f t="shared" si="41"/>
        <v>863.09119373776889</v>
      </c>
      <c r="L248" s="14">
        <f t="shared" si="42"/>
        <v>-22.87540694557353</v>
      </c>
      <c r="M248" s="14">
        <f t="shared" si="43"/>
        <v>166.02634303059244</v>
      </c>
      <c r="N248" s="15">
        <v>19.707799999999999</v>
      </c>
      <c r="O248" s="15">
        <v>30.162199999999999</v>
      </c>
      <c r="P248" s="15">
        <f t="shared" si="40"/>
        <v>-10.4544</v>
      </c>
      <c r="Q248" s="2">
        <v>0.123</v>
      </c>
      <c r="R248" s="2">
        <v>0.187</v>
      </c>
      <c r="S248" s="2">
        <v>0.69</v>
      </c>
      <c r="T248" s="18" t="s">
        <v>122</v>
      </c>
    </row>
    <row r="249" spans="1:20" x14ac:dyDescent="0.2">
      <c r="A249">
        <v>20</v>
      </c>
      <c r="B249">
        <v>218</v>
      </c>
      <c r="C249" t="s">
        <v>12</v>
      </c>
      <c r="D249" t="s">
        <v>118</v>
      </c>
      <c r="E249">
        <v>4</v>
      </c>
      <c r="F249" s="14">
        <v>148.65448060633076</v>
      </c>
      <c r="G249" s="14">
        <v>198.55021834061131</v>
      </c>
      <c r="H249" s="14">
        <v>460.82888987962536</v>
      </c>
      <c r="I249" s="14">
        <v>822.14497816593882</v>
      </c>
      <c r="J249" s="14">
        <f t="shared" ref="J249:J269" si="44">F249+H249</f>
        <v>609.48337048595613</v>
      </c>
      <c r="K249" s="14">
        <f t="shared" si="41"/>
        <v>1020.6951965065501</v>
      </c>
      <c r="L249" s="14">
        <f t="shared" si="42"/>
        <v>49.895737734280544</v>
      </c>
      <c r="M249" s="14">
        <f t="shared" si="43"/>
        <v>411.211826020594</v>
      </c>
      <c r="N249" s="15">
        <v>45.698000000000008</v>
      </c>
      <c r="O249" s="15">
        <v>29.871199999999998</v>
      </c>
      <c r="P249" s="15">
        <f t="shared" si="40"/>
        <v>15.826800000000009</v>
      </c>
      <c r="Q249" s="2">
        <v>0.14799999999999999</v>
      </c>
      <c r="R249" s="2">
        <v>0.28699999999999998</v>
      </c>
      <c r="S249" s="2">
        <v>0.56499999999999995</v>
      </c>
      <c r="T249" s="18" t="s">
        <v>122</v>
      </c>
    </row>
    <row r="250" spans="1:20" x14ac:dyDescent="0.2">
      <c r="A250">
        <v>10</v>
      </c>
      <c r="B250">
        <v>50</v>
      </c>
      <c r="C250" t="s">
        <v>25</v>
      </c>
      <c r="D250" t="s">
        <v>115</v>
      </c>
      <c r="E250">
        <v>2</v>
      </c>
      <c r="F250" s="14">
        <v>333.97271773347296</v>
      </c>
      <c r="G250" s="14">
        <v>378.2433275563252</v>
      </c>
      <c r="H250" s="14">
        <v>529.58530954879302</v>
      </c>
      <c r="I250" s="14">
        <v>505.63778162911586</v>
      </c>
      <c r="J250" s="14">
        <f t="shared" si="44"/>
        <v>863.55802728226604</v>
      </c>
      <c r="K250" s="14">
        <f t="shared" si="41"/>
        <v>883.88110918544112</v>
      </c>
      <c r="L250" s="14">
        <f t="shared" si="42"/>
        <v>44.270609822852236</v>
      </c>
      <c r="M250" s="14">
        <f t="shared" si="43"/>
        <v>20.32308190317508</v>
      </c>
      <c r="N250" s="15">
        <v>45.474883969465651</v>
      </c>
      <c r="O250" s="15">
        <v>44.804326260214538</v>
      </c>
      <c r="P250" s="15">
        <f t="shared" si="40"/>
        <v>0.67055770925111347</v>
      </c>
      <c r="Q250" s="2">
        <v>6.0999999999999999E-2</v>
      </c>
      <c r="R250" s="2">
        <v>0.26700000000000002</v>
      </c>
      <c r="S250" s="2">
        <v>0.67200000000000004</v>
      </c>
      <c r="T250" s="19" t="s">
        <v>121</v>
      </c>
    </row>
    <row r="251" spans="1:20" x14ac:dyDescent="0.2">
      <c r="A251">
        <v>10</v>
      </c>
      <c r="B251">
        <v>65</v>
      </c>
      <c r="C251" t="s">
        <v>25</v>
      </c>
      <c r="D251" t="s">
        <v>115</v>
      </c>
      <c r="E251">
        <v>3</v>
      </c>
      <c r="F251" s="14">
        <v>197.58219395866416</v>
      </c>
      <c r="G251" s="14">
        <v>190.33587174348648</v>
      </c>
      <c r="H251" s="14">
        <v>454.19809220985684</v>
      </c>
      <c r="I251" s="14">
        <v>333.08777555110208</v>
      </c>
      <c r="J251" s="14">
        <f t="shared" si="44"/>
        <v>651.780286168521</v>
      </c>
      <c r="K251" s="14">
        <f t="shared" si="41"/>
        <v>523.42364729458859</v>
      </c>
      <c r="L251" s="14">
        <f t="shared" si="42"/>
        <v>-7.2463222151776847</v>
      </c>
      <c r="M251" s="14">
        <f t="shared" si="43"/>
        <v>-128.35663887393241</v>
      </c>
      <c r="N251" s="15">
        <v>26.370000000000005</v>
      </c>
      <c r="O251" s="15">
        <v>29.781161761761766</v>
      </c>
      <c r="P251" s="15">
        <f t="shared" si="40"/>
        <v>-3.4111617617617611</v>
      </c>
      <c r="Q251" s="2">
        <v>7.2999999999999995E-2</v>
      </c>
      <c r="R251" s="2">
        <v>0.152</v>
      </c>
      <c r="S251" s="2">
        <v>0.77500000000000002</v>
      </c>
      <c r="T251" s="19" t="s">
        <v>121</v>
      </c>
    </row>
    <row r="252" spans="1:20" x14ac:dyDescent="0.2">
      <c r="A252">
        <v>10</v>
      </c>
      <c r="B252">
        <v>76</v>
      </c>
      <c r="C252" t="s">
        <v>25</v>
      </c>
      <c r="D252" t="s">
        <v>115</v>
      </c>
      <c r="E252">
        <v>4</v>
      </c>
      <c r="F252" s="14">
        <v>212.82480461242795</v>
      </c>
      <c r="G252" s="14">
        <v>143.22995924661311</v>
      </c>
      <c r="H252" s="14">
        <v>489.3417040358741</v>
      </c>
      <c r="I252" s="14">
        <v>500.13631457208913</v>
      </c>
      <c r="J252" s="14">
        <f t="shared" si="44"/>
        <v>702.16650864830206</v>
      </c>
      <c r="K252" s="14">
        <f t="shared" si="41"/>
        <v>643.36627381870221</v>
      </c>
      <c r="L252" s="14">
        <f t="shared" si="42"/>
        <v>-69.594845365814848</v>
      </c>
      <c r="M252" s="14">
        <f t="shared" si="43"/>
        <v>-58.800234829599844</v>
      </c>
      <c r="N252" s="15">
        <v>36.287724151696608</v>
      </c>
      <c r="O252" s="15">
        <v>50.5385887887888</v>
      </c>
      <c r="P252" s="15">
        <f t="shared" si="40"/>
        <v>-14.250864637092192</v>
      </c>
      <c r="Q252" s="2">
        <v>0.125</v>
      </c>
      <c r="R252" s="2">
        <v>0.16500000000000001</v>
      </c>
      <c r="S252" s="2">
        <v>0.71</v>
      </c>
      <c r="T252" s="19" t="s">
        <v>121</v>
      </c>
    </row>
    <row r="253" spans="1:20" x14ac:dyDescent="0.2">
      <c r="A253">
        <v>10</v>
      </c>
      <c r="B253">
        <v>139</v>
      </c>
      <c r="C253" t="s">
        <v>25</v>
      </c>
      <c r="D253" t="s">
        <v>115</v>
      </c>
      <c r="E253">
        <v>1</v>
      </c>
      <c r="F253" s="14">
        <v>151.96705461056365</v>
      </c>
      <c r="G253" s="14">
        <v>234.38275092936783</v>
      </c>
      <c r="H253" s="14">
        <v>424.69364368845106</v>
      </c>
      <c r="I253" s="14">
        <v>375.23776951672841</v>
      </c>
      <c r="J253" s="14">
        <f t="shared" si="44"/>
        <v>576.66069829901471</v>
      </c>
      <c r="K253" s="14">
        <f t="shared" si="41"/>
        <v>609.62052044609618</v>
      </c>
      <c r="L253" s="14">
        <f t="shared" si="42"/>
        <v>82.41569631880418</v>
      </c>
      <c r="M253" s="14">
        <f t="shared" si="43"/>
        <v>32.959822147081468</v>
      </c>
      <c r="N253" s="15">
        <v>31.65334794794795</v>
      </c>
      <c r="O253" s="15">
        <v>35.913982834331343</v>
      </c>
      <c r="P253" s="15">
        <f t="shared" si="40"/>
        <v>-4.2606348863833929</v>
      </c>
      <c r="Q253" s="2">
        <v>6.6000000000000003E-2</v>
      </c>
      <c r="R253" s="2">
        <v>0.224</v>
      </c>
      <c r="S253" s="2">
        <v>0.71</v>
      </c>
      <c r="T253" s="19" t="s">
        <v>121</v>
      </c>
    </row>
    <row r="254" spans="1:20" x14ac:dyDescent="0.2">
      <c r="A254">
        <v>10</v>
      </c>
      <c r="B254">
        <v>9</v>
      </c>
      <c r="C254" t="s">
        <v>25</v>
      </c>
      <c r="D254" t="s">
        <v>117</v>
      </c>
      <c r="E254">
        <v>3</v>
      </c>
      <c r="F254" s="14">
        <v>272.92997987927578</v>
      </c>
      <c r="G254" s="14">
        <v>305.16230836832324</v>
      </c>
      <c r="H254" s="14">
        <v>608.37464788732382</v>
      </c>
      <c r="I254" s="14">
        <v>443.38810663021161</v>
      </c>
      <c r="J254" s="14">
        <f t="shared" si="44"/>
        <v>881.30462776659965</v>
      </c>
      <c r="K254" s="14">
        <f t="shared" si="41"/>
        <v>748.55041499853485</v>
      </c>
      <c r="L254" s="14">
        <f t="shared" si="42"/>
        <v>32.232328489047461</v>
      </c>
      <c r="M254" s="14">
        <f t="shared" si="43"/>
        <v>-132.7542127680648</v>
      </c>
      <c r="N254" s="15">
        <v>20.196141658341659</v>
      </c>
      <c r="O254" s="15">
        <v>15.832000000000001</v>
      </c>
      <c r="P254" s="15">
        <f t="shared" si="40"/>
        <v>4.3641416583416586</v>
      </c>
      <c r="Q254" s="2">
        <v>7.5999999999999998E-2</v>
      </c>
      <c r="R254" s="2">
        <v>0.112</v>
      </c>
      <c r="S254" s="2">
        <v>0.81200000000000006</v>
      </c>
      <c r="T254" s="19" t="s">
        <v>121</v>
      </c>
    </row>
    <row r="255" spans="1:20" x14ac:dyDescent="0.2">
      <c r="A255">
        <v>10</v>
      </c>
      <c r="B255">
        <v>83</v>
      </c>
      <c r="C255" t="s">
        <v>25</v>
      </c>
      <c r="D255" t="s">
        <v>117</v>
      </c>
      <c r="E255">
        <v>2</v>
      </c>
      <c r="F255" s="14">
        <v>186.82920147924929</v>
      </c>
      <c r="G255" s="14">
        <v>340.67044807590941</v>
      </c>
      <c r="H255" s="14">
        <v>435.93480345158201</v>
      </c>
      <c r="I255" s="14">
        <v>747.17402214022138</v>
      </c>
      <c r="J255" s="14">
        <f t="shared" si="44"/>
        <v>622.76400493083133</v>
      </c>
      <c r="K255" s="14">
        <f t="shared" si="41"/>
        <v>1087.8444702161307</v>
      </c>
      <c r="L255" s="14">
        <f t="shared" si="42"/>
        <v>153.84124659666011</v>
      </c>
      <c r="M255" s="14">
        <f t="shared" si="43"/>
        <v>465.0804652852994</v>
      </c>
      <c r="N255" s="15">
        <v>34.107399999999998</v>
      </c>
      <c r="O255" s="15">
        <v>57.788209442060094</v>
      </c>
      <c r="P255" s="15">
        <f t="shared" si="40"/>
        <v>-23.680809442060095</v>
      </c>
      <c r="Q255" s="2">
        <v>5.2999999999999999E-2</v>
      </c>
      <c r="R255" s="2">
        <v>0.189</v>
      </c>
      <c r="S255" s="2">
        <v>0.75800000000000001</v>
      </c>
      <c r="T255" s="19" t="s">
        <v>121</v>
      </c>
    </row>
    <row r="256" spans="1:20" x14ac:dyDescent="0.2">
      <c r="A256">
        <v>10</v>
      </c>
      <c r="B256">
        <v>186</v>
      </c>
      <c r="C256" t="s">
        <v>25</v>
      </c>
      <c r="D256" t="s">
        <v>117</v>
      </c>
      <c r="E256">
        <v>4</v>
      </c>
      <c r="F256" s="14">
        <v>190.37716150081559</v>
      </c>
      <c r="G256" s="14">
        <v>193.97810331534311</v>
      </c>
      <c r="H256" s="14">
        <v>330.06949429037542</v>
      </c>
      <c r="I256" s="14">
        <v>569.08033924441031</v>
      </c>
      <c r="J256" s="14">
        <f t="shared" si="44"/>
        <v>520.44665579119101</v>
      </c>
      <c r="K256" s="14">
        <f t="shared" si="41"/>
        <v>763.05844255975342</v>
      </c>
      <c r="L256" s="14">
        <f t="shared" si="42"/>
        <v>3.6009418145275163</v>
      </c>
      <c r="M256" s="14">
        <f t="shared" si="43"/>
        <v>242.61178676856241</v>
      </c>
      <c r="N256" s="15">
        <v>46.771798403193628</v>
      </c>
      <c r="O256" s="15">
        <v>60.693822822822838</v>
      </c>
      <c r="P256" s="15">
        <f t="shared" si="40"/>
        <v>-13.92202441962921</v>
      </c>
      <c r="Q256" s="2">
        <v>9.1999999999999998E-2</v>
      </c>
      <c r="R256" s="2">
        <v>0.13300000000000001</v>
      </c>
      <c r="S256" s="2">
        <v>0.77500000000000002</v>
      </c>
      <c r="T256" s="19" t="s">
        <v>121</v>
      </c>
    </row>
    <row r="257" spans="1:20" x14ac:dyDescent="0.2">
      <c r="A257">
        <v>10</v>
      </c>
      <c r="B257">
        <v>205</v>
      </c>
      <c r="C257" t="s">
        <v>25</v>
      </c>
      <c r="D257" t="s">
        <v>117</v>
      </c>
      <c r="E257">
        <v>1</v>
      </c>
      <c r="F257" s="14">
        <v>323.96654275092897</v>
      </c>
      <c r="G257" s="14">
        <v>378.03029839326672</v>
      </c>
      <c r="H257" s="14">
        <v>598.63382899628255</v>
      </c>
      <c r="I257" s="14">
        <v>546.17260902830878</v>
      </c>
      <c r="J257" s="14">
        <f t="shared" si="44"/>
        <v>922.60037174721151</v>
      </c>
      <c r="K257" s="14">
        <f t="shared" si="41"/>
        <v>924.20290742157545</v>
      </c>
      <c r="L257" s="14">
        <f t="shared" si="42"/>
        <v>54.063755642337753</v>
      </c>
      <c r="M257" s="14">
        <f t="shared" si="43"/>
        <v>1.602535674363935</v>
      </c>
      <c r="N257" s="15">
        <v>40.407600000000002</v>
      </c>
      <c r="O257" s="15">
        <v>36.661199999999994</v>
      </c>
      <c r="P257" s="15">
        <f t="shared" si="40"/>
        <v>3.7464000000000084</v>
      </c>
      <c r="Q257" s="2">
        <v>5.7000000000000002E-2</v>
      </c>
      <c r="R257" s="2">
        <v>0.23499999999999999</v>
      </c>
      <c r="S257" s="2">
        <v>0.70799999999999996</v>
      </c>
      <c r="T257" s="19" t="s">
        <v>121</v>
      </c>
    </row>
    <row r="258" spans="1:20" x14ac:dyDescent="0.2">
      <c r="A258">
        <v>10</v>
      </c>
      <c r="B258">
        <v>56</v>
      </c>
      <c r="C258" t="s">
        <v>25</v>
      </c>
      <c r="D258" t="s">
        <v>118</v>
      </c>
      <c r="E258">
        <v>2</v>
      </c>
      <c r="F258" s="14">
        <v>240.44481203007533</v>
      </c>
      <c r="G258" s="14">
        <v>159.44850498338863</v>
      </c>
      <c r="H258" s="14">
        <v>1013.0589473684211</v>
      </c>
      <c r="I258" s="14">
        <v>1016.274418604651</v>
      </c>
      <c r="J258" s="14">
        <f t="shared" si="44"/>
        <v>1253.5037593984964</v>
      </c>
      <c r="K258" s="14">
        <f t="shared" si="41"/>
        <v>1175.7229235880397</v>
      </c>
      <c r="L258" s="14">
        <f t="shared" si="42"/>
        <v>-80.996307046686695</v>
      </c>
      <c r="M258" s="14">
        <f t="shared" si="43"/>
        <v>-77.780835810456665</v>
      </c>
      <c r="N258" s="15">
        <v>41.804200000000016</v>
      </c>
      <c r="O258" s="15">
        <v>50.094979122541581</v>
      </c>
      <c r="P258" s="15">
        <f t="shared" si="40"/>
        <v>-8.290779122541565</v>
      </c>
      <c r="Q258" s="2">
        <v>0.09</v>
      </c>
      <c r="R258" s="2">
        <v>0.23499999999999999</v>
      </c>
      <c r="S258" s="2">
        <v>0.67600000000000005</v>
      </c>
      <c r="T258" s="19" t="s">
        <v>121</v>
      </c>
    </row>
    <row r="259" spans="1:20" x14ac:dyDescent="0.2">
      <c r="A259">
        <v>10</v>
      </c>
      <c r="B259">
        <v>226</v>
      </c>
      <c r="C259" t="s">
        <v>25</v>
      </c>
      <c r="D259" t="s">
        <v>118</v>
      </c>
      <c r="E259">
        <v>1</v>
      </c>
      <c r="F259" s="14">
        <v>167.94740541658038</v>
      </c>
      <c r="G259" s="14">
        <v>155.31237918707788</v>
      </c>
      <c r="H259" s="14">
        <v>877.33719247467434</v>
      </c>
      <c r="I259" s="14">
        <v>887.72863762743259</v>
      </c>
      <c r="J259" s="14">
        <f t="shared" si="44"/>
        <v>1045.2845978912546</v>
      </c>
      <c r="K259" s="14">
        <f t="shared" si="41"/>
        <v>1043.0410168145104</v>
      </c>
      <c r="L259" s="14">
        <f t="shared" si="42"/>
        <v>-12.6350262295025</v>
      </c>
      <c r="M259" s="14">
        <f t="shared" si="43"/>
        <v>-2.243581076744249</v>
      </c>
      <c r="N259" s="15">
        <v>41.789678642714591</v>
      </c>
      <c r="O259" s="15">
        <v>32.908315707620531</v>
      </c>
      <c r="P259" s="15">
        <f t="shared" si="40"/>
        <v>8.8813629350940602</v>
      </c>
      <c r="Q259" s="2">
        <v>0.11600000000000001</v>
      </c>
      <c r="R259" s="2">
        <v>0.30299999999999999</v>
      </c>
      <c r="S259" s="2">
        <v>0.58099999999999996</v>
      </c>
      <c r="T259" s="19" t="s">
        <v>121</v>
      </c>
    </row>
    <row r="260" spans="1:20" x14ac:dyDescent="0.2">
      <c r="A260">
        <v>20</v>
      </c>
      <c r="B260">
        <v>72</v>
      </c>
      <c r="C260" t="s">
        <v>8</v>
      </c>
      <c r="D260" t="s">
        <v>115</v>
      </c>
      <c r="E260">
        <v>1</v>
      </c>
      <c r="F260" s="14">
        <v>68.842767295597525</v>
      </c>
      <c r="G260" s="14">
        <v>195.45792811839326</v>
      </c>
      <c r="H260" s="14">
        <v>225.59245283018865</v>
      </c>
      <c r="I260" s="14">
        <v>327.89936575052855</v>
      </c>
      <c r="J260" s="14">
        <f t="shared" si="44"/>
        <v>294.43522012578615</v>
      </c>
      <c r="K260" s="14">
        <f t="shared" si="41"/>
        <v>523.35729386892183</v>
      </c>
      <c r="L260" s="14">
        <f t="shared" si="42"/>
        <v>126.61516082279573</v>
      </c>
      <c r="M260" s="14">
        <f t="shared" si="43"/>
        <v>228.92207374313568</v>
      </c>
      <c r="N260" s="15">
        <v>17.493000000000002</v>
      </c>
      <c r="O260" s="15">
        <v>25.833199999999998</v>
      </c>
      <c r="P260" s="15">
        <f t="shared" si="40"/>
        <v>-8.3401999999999958</v>
      </c>
      <c r="Q260" s="2">
        <v>6.3E-2</v>
      </c>
      <c r="R260" s="2">
        <v>0.11</v>
      </c>
      <c r="S260" s="2">
        <v>0.82699999999999996</v>
      </c>
      <c r="T260" s="19" t="s">
        <v>121</v>
      </c>
    </row>
    <row r="261" spans="1:20" x14ac:dyDescent="0.2">
      <c r="A261">
        <v>20</v>
      </c>
      <c r="B261">
        <v>118</v>
      </c>
      <c r="C261" t="s">
        <v>8</v>
      </c>
      <c r="D261" t="s">
        <v>115</v>
      </c>
      <c r="E261">
        <v>4</v>
      </c>
      <c r="F261" s="14">
        <v>100.34794520547956</v>
      </c>
      <c r="G261" s="14">
        <v>174.57172774869122</v>
      </c>
      <c r="H261" s="14">
        <v>198.38904109589046</v>
      </c>
      <c r="I261" s="14">
        <v>228.98369483919222</v>
      </c>
      <c r="J261" s="14">
        <f t="shared" si="44"/>
        <v>298.73698630137005</v>
      </c>
      <c r="K261" s="14">
        <f t="shared" si="41"/>
        <v>403.55542258788341</v>
      </c>
      <c r="L261" s="14">
        <f t="shared" si="42"/>
        <v>74.223782543211655</v>
      </c>
      <c r="M261" s="14">
        <f t="shared" si="43"/>
        <v>104.81843628651336</v>
      </c>
      <c r="N261" s="15">
        <v>24.282199999999996</v>
      </c>
      <c r="O261" s="15">
        <v>23.886399999999998</v>
      </c>
      <c r="P261" s="15">
        <f t="shared" ref="P261:P292" si="45">N261-O261</f>
        <v>0.39579999999999771</v>
      </c>
      <c r="Q261" s="2">
        <v>7.6999999999999999E-2</v>
      </c>
      <c r="R261" s="2">
        <v>0.14599999999999999</v>
      </c>
      <c r="S261" s="2">
        <v>0.77700000000000002</v>
      </c>
      <c r="T261" s="19" t="s">
        <v>121</v>
      </c>
    </row>
    <row r="262" spans="1:20" x14ac:dyDescent="0.2">
      <c r="A262">
        <v>20</v>
      </c>
      <c r="B262">
        <v>273</v>
      </c>
      <c r="C262" t="s">
        <v>8</v>
      </c>
      <c r="D262" t="s">
        <v>115</v>
      </c>
      <c r="E262">
        <v>3</v>
      </c>
      <c r="F262" s="14">
        <v>82.205561277034093</v>
      </c>
      <c r="G262" s="14">
        <v>144.68735083532223</v>
      </c>
      <c r="H262" s="14">
        <v>161.28939237899078</v>
      </c>
      <c r="I262" s="14">
        <v>203.59577224684622</v>
      </c>
      <c r="J262" s="14">
        <f t="shared" si="44"/>
        <v>243.49495365602488</v>
      </c>
      <c r="K262" s="14">
        <f t="shared" si="41"/>
        <v>348.28312308216846</v>
      </c>
      <c r="L262" s="14">
        <f t="shared" si="42"/>
        <v>62.481789558288142</v>
      </c>
      <c r="M262" s="14">
        <f t="shared" si="43"/>
        <v>104.78816942614358</v>
      </c>
      <c r="N262" s="15">
        <v>15.184000000000001</v>
      </c>
      <c r="O262" s="15">
        <v>13.081800000000005</v>
      </c>
      <c r="P262" s="15">
        <f t="shared" si="45"/>
        <v>2.1021999999999963</v>
      </c>
      <c r="Q262" s="2">
        <v>4.9000000000000002E-2</v>
      </c>
      <c r="R262" s="2">
        <v>9.5000000000000001E-2</v>
      </c>
      <c r="S262" s="2">
        <v>0.85599999999999998</v>
      </c>
      <c r="T262" s="19" t="s">
        <v>121</v>
      </c>
    </row>
    <row r="263" spans="1:20" x14ac:dyDescent="0.2">
      <c r="A263">
        <v>20</v>
      </c>
      <c r="B263">
        <v>304</v>
      </c>
      <c r="C263" t="s">
        <v>8</v>
      </c>
      <c r="D263" t="s">
        <v>115</v>
      </c>
      <c r="E263">
        <v>2</v>
      </c>
      <c r="F263" s="14">
        <v>58.12180695482629</v>
      </c>
      <c r="G263" s="14">
        <v>78.666127401415707</v>
      </c>
      <c r="H263" s="14">
        <v>137.91615209619764</v>
      </c>
      <c r="I263" s="14">
        <v>142.00768452982817</v>
      </c>
      <c r="J263" s="14">
        <f t="shared" si="44"/>
        <v>196.03795905102393</v>
      </c>
      <c r="K263" s="14">
        <f t="shared" si="41"/>
        <v>220.67381193124388</v>
      </c>
      <c r="L263" s="14">
        <f t="shared" si="42"/>
        <v>20.544320446589417</v>
      </c>
      <c r="M263" s="14">
        <f t="shared" si="43"/>
        <v>24.635852880219943</v>
      </c>
      <c r="N263" s="15">
        <v>11.8972</v>
      </c>
      <c r="O263" s="15">
        <v>10.806599999999998</v>
      </c>
      <c r="P263" s="15">
        <f t="shared" si="45"/>
        <v>1.090600000000002</v>
      </c>
      <c r="Q263" s="2">
        <v>3.7999999999999999E-2</v>
      </c>
      <c r="R263" s="2">
        <v>7.9000000000000001E-2</v>
      </c>
      <c r="S263" s="2">
        <v>0.88400000000000001</v>
      </c>
      <c r="T263" s="19" t="s">
        <v>121</v>
      </c>
    </row>
    <row r="264" spans="1:20" x14ac:dyDescent="0.2">
      <c r="A264">
        <v>20</v>
      </c>
      <c r="B264">
        <v>114</v>
      </c>
      <c r="C264" t="s">
        <v>8</v>
      </c>
      <c r="D264" t="s">
        <v>117</v>
      </c>
      <c r="E264">
        <v>2</v>
      </c>
      <c r="F264" s="14">
        <v>230.83286573146313</v>
      </c>
      <c r="G264" s="14">
        <v>201.526789206101</v>
      </c>
      <c r="H264" s="14">
        <v>649.97675350701411</v>
      </c>
      <c r="I264" s="14">
        <v>587.98404380132968</v>
      </c>
      <c r="J264" s="14">
        <f t="shared" si="44"/>
        <v>880.80961923847724</v>
      </c>
      <c r="K264" s="14">
        <f t="shared" si="41"/>
        <v>789.51083300743062</v>
      </c>
      <c r="L264" s="14">
        <f t="shared" si="42"/>
        <v>-29.30607652536213</v>
      </c>
      <c r="M264" s="14">
        <f t="shared" si="43"/>
        <v>-91.29878623104662</v>
      </c>
      <c r="N264" s="15">
        <v>69.175600000000003</v>
      </c>
      <c r="O264" s="15">
        <v>71.757000000000005</v>
      </c>
      <c r="P264" s="15">
        <f t="shared" si="45"/>
        <v>-2.5814000000000021</v>
      </c>
      <c r="Q264" s="2">
        <v>0.1</v>
      </c>
      <c r="R264" s="2">
        <v>0.153</v>
      </c>
      <c r="S264" s="2">
        <v>0.747</v>
      </c>
      <c r="T264" s="19" t="s">
        <v>121</v>
      </c>
    </row>
    <row r="265" spans="1:20" x14ac:dyDescent="0.2">
      <c r="A265">
        <v>20</v>
      </c>
      <c r="B265">
        <v>179</v>
      </c>
      <c r="C265" t="s">
        <v>8</v>
      </c>
      <c r="D265" t="s">
        <v>117</v>
      </c>
      <c r="E265">
        <v>4</v>
      </c>
      <c r="F265" s="14">
        <v>249.48762937407594</v>
      </c>
      <c r="G265" s="14">
        <v>230.29059829059852</v>
      </c>
      <c r="H265" s="14">
        <v>512.42069985214391</v>
      </c>
      <c r="I265" s="14">
        <v>597.31623931623915</v>
      </c>
      <c r="J265" s="14">
        <f t="shared" si="44"/>
        <v>761.90832922621985</v>
      </c>
      <c r="K265" s="14">
        <f t="shared" si="41"/>
        <v>827.60683760683764</v>
      </c>
      <c r="L265" s="14">
        <f t="shared" si="42"/>
        <v>-19.197031083477412</v>
      </c>
      <c r="M265" s="14">
        <f t="shared" si="43"/>
        <v>65.698508380617795</v>
      </c>
      <c r="N265" s="15">
        <v>35.550200000000004</v>
      </c>
      <c r="O265" s="15">
        <v>41.064400000000006</v>
      </c>
      <c r="P265" s="15">
        <f t="shared" si="45"/>
        <v>-5.5142000000000024</v>
      </c>
      <c r="Q265" s="2">
        <v>9.6000000000000002E-2</v>
      </c>
      <c r="R265" s="2">
        <v>0.152</v>
      </c>
      <c r="S265" s="2">
        <v>0.752</v>
      </c>
      <c r="T265" s="19" t="s">
        <v>121</v>
      </c>
    </row>
    <row r="266" spans="1:20" x14ac:dyDescent="0.2">
      <c r="A266">
        <v>20</v>
      </c>
      <c r="B266">
        <v>147</v>
      </c>
      <c r="C266" t="s">
        <v>8</v>
      </c>
      <c r="D266" t="s">
        <v>118</v>
      </c>
      <c r="E266">
        <v>1</v>
      </c>
      <c r="F266" s="14">
        <v>496.37554585152856</v>
      </c>
      <c r="G266" s="14">
        <v>589.72015209125493</v>
      </c>
      <c r="H266" s="14">
        <v>1167.0340611353713</v>
      </c>
      <c r="I266" s="14">
        <v>1160.2311787072244</v>
      </c>
      <c r="J266" s="14">
        <f t="shared" si="44"/>
        <v>1663.4096069868999</v>
      </c>
      <c r="K266" s="14">
        <f t="shared" si="41"/>
        <v>1749.9513307984794</v>
      </c>
      <c r="L266" s="14">
        <f t="shared" si="42"/>
        <v>93.344606239726374</v>
      </c>
      <c r="M266" s="14">
        <f t="shared" si="43"/>
        <v>86.541723811579459</v>
      </c>
      <c r="N266" s="15">
        <v>151.56020000000001</v>
      </c>
      <c r="O266" s="15">
        <v>145.684</v>
      </c>
      <c r="P266" s="15">
        <f t="shared" si="45"/>
        <v>5.8762000000000114</v>
      </c>
      <c r="Q266" s="2">
        <v>0.189</v>
      </c>
      <c r="R266" s="2">
        <v>0.38500000000000001</v>
      </c>
      <c r="S266" s="2">
        <v>0.42599999999999999</v>
      </c>
      <c r="T266" s="19" t="s">
        <v>121</v>
      </c>
    </row>
    <row r="267" spans="1:20" x14ac:dyDescent="0.2">
      <c r="A267">
        <v>20</v>
      </c>
      <c r="B267">
        <v>162</v>
      </c>
      <c r="C267" t="s">
        <v>8</v>
      </c>
      <c r="D267" t="s">
        <v>118</v>
      </c>
      <c r="E267">
        <v>2</v>
      </c>
      <c r="F267" s="14">
        <v>519.85271122320319</v>
      </c>
      <c r="G267" s="14">
        <v>523.47444574095687</v>
      </c>
      <c r="H267" s="14">
        <v>1033.9717528373264</v>
      </c>
      <c r="I267" s="14">
        <v>1055.7913652275379</v>
      </c>
      <c r="J267" s="14">
        <f t="shared" si="44"/>
        <v>1553.8244640605296</v>
      </c>
      <c r="K267" s="14">
        <f t="shared" si="41"/>
        <v>1579.2658109684949</v>
      </c>
      <c r="L267" s="14">
        <f t="shared" si="42"/>
        <v>3.6217345177536799</v>
      </c>
      <c r="M267" s="14">
        <f t="shared" si="43"/>
        <v>25.441346907965226</v>
      </c>
      <c r="N267" s="15">
        <v>152.03480000000002</v>
      </c>
      <c r="O267" s="15">
        <v>127.9366</v>
      </c>
      <c r="P267" s="15">
        <f t="shared" si="45"/>
        <v>24.09820000000002</v>
      </c>
      <c r="Q267" s="2">
        <v>0.13900000000000001</v>
      </c>
      <c r="R267" s="2">
        <v>0.252</v>
      </c>
      <c r="S267" s="2">
        <v>0.60899999999999999</v>
      </c>
      <c r="T267" s="19" t="s">
        <v>121</v>
      </c>
    </row>
    <row r="268" spans="1:20" x14ac:dyDescent="0.2">
      <c r="A268">
        <v>20</v>
      </c>
      <c r="B268">
        <v>177</v>
      </c>
      <c r="C268" t="s">
        <v>8</v>
      </c>
      <c r="D268" t="s">
        <v>118</v>
      </c>
      <c r="E268">
        <v>4</v>
      </c>
      <c r="F268" s="14">
        <v>128.23119266055045</v>
      </c>
      <c r="G268" s="14">
        <v>140.89243027888455</v>
      </c>
      <c r="H268" s="14">
        <v>486.66055045871542</v>
      </c>
      <c r="I268" s="14">
        <v>587.72270916334662</v>
      </c>
      <c r="J268" s="14">
        <f t="shared" si="44"/>
        <v>614.89174311926581</v>
      </c>
      <c r="K268" s="14">
        <f t="shared" si="41"/>
        <v>728.61513944223111</v>
      </c>
      <c r="L268" s="14">
        <f t="shared" si="42"/>
        <v>12.661237618334098</v>
      </c>
      <c r="M268" s="14">
        <f t="shared" si="43"/>
        <v>113.7233963229653</v>
      </c>
      <c r="N268" s="15">
        <v>42.686399999999992</v>
      </c>
      <c r="O268" s="15">
        <v>22.724599999999999</v>
      </c>
      <c r="P268" s="15">
        <f t="shared" si="45"/>
        <v>19.961799999999993</v>
      </c>
      <c r="Q268" s="2">
        <v>9.2999999999999999E-2</v>
      </c>
      <c r="R268" s="2">
        <v>0.152</v>
      </c>
      <c r="S268" s="2">
        <v>0.755</v>
      </c>
      <c r="T268" s="19" t="s">
        <v>121</v>
      </c>
    </row>
    <row r="269" spans="1:20" x14ac:dyDescent="0.2">
      <c r="A269">
        <v>20</v>
      </c>
      <c r="B269">
        <v>255</v>
      </c>
      <c r="C269" t="s">
        <v>8</v>
      </c>
      <c r="D269" t="s">
        <v>118</v>
      </c>
      <c r="E269">
        <v>3</v>
      </c>
      <c r="F269" s="14">
        <v>243.39270998415239</v>
      </c>
      <c r="G269" s="14">
        <v>298.79357716324722</v>
      </c>
      <c r="H269" s="14">
        <v>618.08938193343886</v>
      </c>
      <c r="I269" s="14">
        <v>855.82051739518272</v>
      </c>
      <c r="J269" s="14">
        <f t="shared" si="44"/>
        <v>861.48209191759122</v>
      </c>
      <c r="K269" s="14">
        <f t="shared" si="41"/>
        <v>1154.61409455843</v>
      </c>
      <c r="L269" s="14">
        <f t="shared" si="42"/>
        <v>55.400867179094831</v>
      </c>
      <c r="M269" s="14">
        <f t="shared" si="43"/>
        <v>293.13200264083878</v>
      </c>
      <c r="N269" s="15">
        <v>97.361000000000004</v>
      </c>
      <c r="O269" s="15">
        <v>66.374800000000008</v>
      </c>
      <c r="P269" s="15">
        <f t="shared" si="45"/>
        <v>30.986199999999997</v>
      </c>
      <c r="Q269" s="2">
        <v>0.115</v>
      </c>
      <c r="R269" s="2">
        <v>0.151</v>
      </c>
      <c r="S269" s="2">
        <v>0.73399999999999999</v>
      </c>
      <c r="T269" s="19" t="s">
        <v>121</v>
      </c>
    </row>
  </sheetData>
  <sortState xmlns:xlrd2="http://schemas.microsoft.com/office/spreadsheetml/2017/richdata2" ref="A2:T269">
    <sortCondition ref="C2:C269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 sorted all data</vt:lpstr>
      <vt:lpstr>GLM result </vt:lpstr>
      <vt:lpstr>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Shivalika Singh</dc:creator>
  <cp:lastModifiedBy>Shivalika Singh</cp:lastModifiedBy>
  <dcterms:created xsi:type="dcterms:W3CDTF">2025-08-10T21:06:46Z</dcterms:created>
  <dcterms:modified xsi:type="dcterms:W3CDTF">2025-10-31T15:41:31Z</dcterms:modified>
</cp:coreProperties>
</file>